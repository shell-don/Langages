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is/Documents/Management/Statistiques/Sauveteur-2025/"/>
    </mc:Choice>
  </mc:AlternateContent>
  <xr:revisionPtr revIDLastSave="0" documentId="13_ncr:1_{2BDD9101-F205-7449-AB96-D4241A68700C}" xr6:coauthVersionLast="47" xr6:coauthVersionMax="47" xr10:uidLastSave="{00000000-0000-0000-0000-000000000000}"/>
  <bookViews>
    <workbookView xWindow="1320" yWindow="780" windowWidth="27660" windowHeight="16780" xr2:uid="{B2FC18F4-2B1C-5142-9148-3CBAE567568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5" i="1" l="1"/>
  <c r="T45" i="1"/>
  <c r="F45" i="1" s="1"/>
  <c r="O45" i="1"/>
  <c r="N45" i="1"/>
  <c r="Z45" i="1" s="1"/>
  <c r="M45" i="1"/>
  <c r="Y45" i="1" s="1"/>
  <c r="W44" i="1"/>
  <c r="U44" i="1"/>
  <c r="T44" i="1"/>
  <c r="F44" i="1" s="1"/>
  <c r="O44" i="1"/>
  <c r="N44" i="1"/>
  <c r="Z44" i="1" s="1"/>
  <c r="M44" i="1"/>
  <c r="Y44" i="1" s="1"/>
  <c r="Z43" i="1"/>
  <c r="W43" i="1"/>
  <c r="U43" i="1"/>
  <c r="T43" i="1"/>
  <c r="O43" i="1"/>
  <c r="N43" i="1"/>
  <c r="M43" i="1"/>
  <c r="Y43" i="1" s="1"/>
  <c r="F43" i="1"/>
  <c r="Z42" i="1"/>
  <c r="W42" i="1"/>
  <c r="U42" i="1"/>
  <c r="T42" i="1"/>
  <c r="O42" i="1"/>
  <c r="N42" i="1"/>
  <c r="M42" i="1"/>
  <c r="V42" i="1" s="1"/>
  <c r="F42" i="1"/>
  <c r="Z41" i="1"/>
  <c r="W41" i="1"/>
  <c r="U41" i="1"/>
  <c r="T41" i="1"/>
  <c r="F41" i="1" s="1"/>
  <c r="O41" i="1"/>
  <c r="N41" i="1"/>
  <c r="M41" i="1"/>
  <c r="Y41" i="1" s="1"/>
  <c r="Z40" i="1"/>
  <c r="W40" i="1"/>
  <c r="U40" i="1"/>
  <c r="T40" i="1"/>
  <c r="F40" i="1" s="1"/>
  <c r="O40" i="1"/>
  <c r="N40" i="1"/>
  <c r="M40" i="1"/>
  <c r="Y40" i="1" s="1"/>
  <c r="Z39" i="1"/>
  <c r="W39" i="1"/>
  <c r="U39" i="1"/>
  <c r="T39" i="1"/>
  <c r="O39" i="1"/>
  <c r="N39" i="1"/>
  <c r="M39" i="1"/>
  <c r="Y39" i="1" s="1"/>
  <c r="F39" i="1"/>
  <c r="Z38" i="1"/>
  <c r="W38" i="1"/>
  <c r="U38" i="1"/>
  <c r="T38" i="1"/>
  <c r="O38" i="1"/>
  <c r="N38" i="1"/>
  <c r="M38" i="1"/>
  <c r="V38" i="1" s="1"/>
  <c r="F38" i="1"/>
  <c r="Z37" i="1"/>
  <c r="W37" i="1"/>
  <c r="U37" i="1"/>
  <c r="T37" i="1"/>
  <c r="F37" i="1" s="1"/>
  <c r="O37" i="1"/>
  <c r="N37" i="1"/>
  <c r="M37" i="1"/>
  <c r="Y37" i="1" s="1"/>
  <c r="Z36" i="1"/>
  <c r="W36" i="1"/>
  <c r="U36" i="1"/>
  <c r="T36" i="1"/>
  <c r="F36" i="1" s="1"/>
  <c r="O36" i="1"/>
  <c r="N36" i="1"/>
  <c r="M36" i="1"/>
  <c r="Y36" i="1" s="1"/>
  <c r="Z35" i="1"/>
  <c r="W35" i="1"/>
  <c r="U35" i="1"/>
  <c r="T35" i="1"/>
  <c r="O35" i="1"/>
  <c r="N35" i="1"/>
  <c r="M35" i="1"/>
  <c r="Y35" i="1" s="1"/>
  <c r="F35" i="1"/>
  <c r="Z34" i="1"/>
  <c r="W34" i="1"/>
  <c r="U34" i="1"/>
  <c r="T34" i="1"/>
  <c r="O34" i="1"/>
  <c r="N34" i="1"/>
  <c r="M34" i="1"/>
  <c r="V34" i="1" s="1"/>
  <c r="F34" i="1"/>
  <c r="A34" i="1"/>
  <c r="Y33" i="1"/>
  <c r="V33" i="1"/>
  <c r="U33" i="1"/>
  <c r="T33" i="1"/>
  <c r="F33" i="1" s="1"/>
  <c r="O33" i="1"/>
  <c r="N33" i="1"/>
  <c r="Z33" i="1" s="1"/>
  <c r="M33" i="1"/>
  <c r="Z32" i="1"/>
  <c r="W32" i="1"/>
  <c r="V32" i="1"/>
  <c r="U32" i="1"/>
  <c r="T32" i="1"/>
  <c r="F32" i="1" s="1"/>
  <c r="O32" i="1"/>
  <c r="M32" i="1"/>
  <c r="Y32" i="1" s="1"/>
  <c r="Z31" i="1"/>
  <c r="Y31" i="1"/>
  <c r="W31" i="1"/>
  <c r="V31" i="1"/>
  <c r="U31" i="1"/>
  <c r="T31" i="1"/>
  <c r="O31" i="1"/>
  <c r="M31" i="1"/>
  <c r="F31" i="1"/>
  <c r="A31" i="1"/>
  <c r="Z30" i="1"/>
  <c r="Y30" i="1"/>
  <c r="W30" i="1"/>
  <c r="V30" i="1"/>
  <c r="U30" i="1"/>
  <c r="T30" i="1"/>
  <c r="O30" i="1"/>
  <c r="F30" i="1"/>
  <c r="Z29" i="1"/>
  <c r="Y29" i="1"/>
  <c r="W29" i="1"/>
  <c r="V29" i="1"/>
  <c r="U29" i="1"/>
  <c r="T29" i="1"/>
  <c r="O29" i="1"/>
  <c r="F29" i="1"/>
  <c r="Z28" i="1"/>
  <c r="Y28" i="1"/>
  <c r="W28" i="1"/>
  <c r="V28" i="1"/>
  <c r="U28" i="1"/>
  <c r="T28" i="1"/>
  <c r="O28" i="1"/>
  <c r="F28" i="1"/>
  <c r="Z27" i="1"/>
  <c r="Y27" i="1"/>
  <c r="W27" i="1"/>
  <c r="V27" i="1"/>
  <c r="U27" i="1"/>
  <c r="T27" i="1"/>
  <c r="O27" i="1"/>
  <c r="F27" i="1"/>
  <c r="Z26" i="1"/>
  <c r="Y26" i="1"/>
  <c r="W26" i="1"/>
  <c r="V26" i="1"/>
  <c r="U26" i="1"/>
  <c r="T26" i="1"/>
  <c r="O26" i="1"/>
  <c r="F26" i="1"/>
  <c r="Z25" i="1"/>
  <c r="Y25" i="1"/>
  <c r="W25" i="1"/>
  <c r="V25" i="1"/>
  <c r="U25" i="1"/>
  <c r="T25" i="1"/>
  <c r="O25" i="1"/>
  <c r="F25" i="1"/>
  <c r="A25" i="1"/>
  <c r="Z24" i="1"/>
  <c r="Y24" i="1"/>
  <c r="W24" i="1"/>
  <c r="V24" i="1"/>
  <c r="U24" i="1"/>
  <c r="T24" i="1"/>
  <c r="O24" i="1"/>
  <c r="F24" i="1"/>
  <c r="Z23" i="1"/>
  <c r="Y23" i="1"/>
  <c r="W23" i="1"/>
  <c r="V23" i="1"/>
  <c r="U23" i="1"/>
  <c r="T23" i="1"/>
  <c r="O23" i="1"/>
  <c r="F23" i="1"/>
  <c r="Z22" i="1"/>
  <c r="Y22" i="1"/>
  <c r="W22" i="1"/>
  <c r="V22" i="1"/>
  <c r="U22" i="1"/>
  <c r="T22" i="1"/>
  <c r="O22" i="1"/>
  <c r="F22" i="1"/>
  <c r="Z21" i="1"/>
  <c r="Y21" i="1"/>
  <c r="W21" i="1"/>
  <c r="V21" i="1"/>
  <c r="U21" i="1"/>
  <c r="T21" i="1"/>
  <c r="O21" i="1"/>
  <c r="F21" i="1"/>
  <c r="Z20" i="1"/>
  <c r="Y20" i="1"/>
  <c r="W20" i="1"/>
  <c r="V20" i="1"/>
  <c r="U20" i="1"/>
  <c r="T20" i="1"/>
  <c r="O20" i="1"/>
  <c r="F20" i="1"/>
  <c r="Z19" i="1"/>
  <c r="Y19" i="1"/>
  <c r="W19" i="1"/>
  <c r="V19" i="1"/>
  <c r="U19" i="1"/>
  <c r="T19" i="1"/>
  <c r="O19" i="1"/>
  <c r="F19" i="1"/>
  <c r="Z18" i="1"/>
  <c r="Y18" i="1"/>
  <c r="W18" i="1"/>
  <c r="V18" i="1"/>
  <c r="U18" i="1"/>
  <c r="T18" i="1"/>
  <c r="O18" i="1"/>
  <c r="F18" i="1"/>
  <c r="Z17" i="1"/>
  <c r="Y17" i="1"/>
  <c r="W17" i="1"/>
  <c r="V17" i="1"/>
  <c r="U17" i="1"/>
  <c r="T17" i="1"/>
  <c r="O17" i="1"/>
  <c r="F17" i="1"/>
  <c r="Z16" i="1"/>
  <c r="Y16" i="1"/>
  <c r="W16" i="1"/>
  <c r="V16" i="1"/>
  <c r="U16" i="1"/>
  <c r="T16" i="1"/>
  <c r="O16" i="1"/>
  <c r="F16" i="1"/>
  <c r="Z15" i="1"/>
  <c r="Y15" i="1"/>
  <c r="W15" i="1"/>
  <c r="V15" i="1"/>
  <c r="U15" i="1"/>
  <c r="T15" i="1"/>
  <c r="O15" i="1"/>
  <c r="F15" i="1"/>
  <c r="Z14" i="1"/>
  <c r="Y14" i="1"/>
  <c r="W14" i="1"/>
  <c r="V14" i="1"/>
  <c r="U14" i="1"/>
  <c r="T14" i="1"/>
  <c r="O14" i="1"/>
  <c r="F14" i="1"/>
  <c r="A14" i="1"/>
  <c r="Z13" i="1"/>
  <c r="Y13" i="1"/>
  <c r="W13" i="1"/>
  <c r="V13" i="1"/>
  <c r="U13" i="1"/>
  <c r="T13" i="1"/>
  <c r="F13" i="1" s="1"/>
  <c r="O13" i="1"/>
  <c r="Z12" i="1"/>
  <c r="Y12" i="1"/>
  <c r="W12" i="1"/>
  <c r="V12" i="1"/>
  <c r="U12" i="1"/>
  <c r="T12" i="1"/>
  <c r="F12" i="1" s="1"/>
  <c r="O12" i="1"/>
  <c r="Z11" i="1"/>
  <c r="Y11" i="1"/>
  <c r="W11" i="1"/>
  <c r="V11" i="1"/>
  <c r="U11" i="1"/>
  <c r="T11" i="1"/>
  <c r="O11" i="1"/>
  <c r="F11" i="1"/>
  <c r="Z10" i="1"/>
  <c r="Y10" i="1"/>
  <c r="W10" i="1"/>
  <c r="V10" i="1"/>
  <c r="U10" i="1"/>
  <c r="T10" i="1"/>
  <c r="O10" i="1"/>
  <c r="F10" i="1"/>
  <c r="Z9" i="1"/>
  <c r="Y9" i="1"/>
  <c r="W9" i="1"/>
  <c r="V9" i="1"/>
  <c r="U9" i="1"/>
  <c r="T9" i="1"/>
  <c r="O9" i="1"/>
  <c r="F9" i="1"/>
  <c r="Z8" i="1"/>
  <c r="Y8" i="1"/>
  <c r="W8" i="1"/>
  <c r="V8" i="1"/>
  <c r="U8" i="1"/>
  <c r="T8" i="1"/>
  <c r="O8" i="1"/>
  <c r="F8" i="1"/>
  <c r="Z7" i="1"/>
  <c r="W7" i="1"/>
  <c r="V7" i="1"/>
  <c r="U7" i="1"/>
  <c r="T7" i="1"/>
  <c r="O7" i="1"/>
  <c r="M7" i="1"/>
  <c r="Y7" i="1" s="1"/>
  <c r="F7" i="1"/>
  <c r="Z6" i="1"/>
  <c r="Y6" i="1"/>
  <c r="W6" i="1"/>
  <c r="V6" i="1"/>
  <c r="U6" i="1"/>
  <c r="T6" i="1"/>
  <c r="F6" i="1" s="1"/>
  <c r="O6" i="1"/>
  <c r="Z5" i="1"/>
  <c r="Y5" i="1"/>
  <c r="W5" i="1"/>
  <c r="V5" i="1"/>
  <c r="U5" i="1"/>
  <c r="T5" i="1"/>
  <c r="F5" i="1" s="1"/>
  <c r="O5" i="1"/>
  <c r="Z4" i="1"/>
  <c r="Y4" i="1"/>
  <c r="W4" i="1"/>
  <c r="V4" i="1"/>
  <c r="U4" i="1"/>
  <c r="T4" i="1"/>
  <c r="F4" i="1" s="1"/>
  <c r="O4" i="1"/>
  <c r="Z3" i="1"/>
  <c r="Y3" i="1"/>
  <c r="W3" i="1"/>
  <c r="V3" i="1"/>
  <c r="U3" i="1"/>
  <c r="T3" i="1"/>
  <c r="F3" i="1" s="1"/>
  <c r="O3" i="1"/>
  <c r="A3" i="1"/>
  <c r="Z2" i="1"/>
  <c r="Y2" i="1"/>
  <c r="W2" i="1"/>
  <c r="V2" i="1"/>
  <c r="U2" i="1"/>
  <c r="T2" i="1"/>
  <c r="F2" i="1" s="1"/>
  <c r="O2" i="1"/>
  <c r="Y34" i="1" l="1"/>
  <c r="V35" i="1"/>
  <c r="Y38" i="1"/>
  <c r="V39" i="1"/>
  <c r="Y42" i="1"/>
  <c r="V43" i="1"/>
  <c r="V36" i="1"/>
  <c r="V40" i="1"/>
  <c r="V44" i="1"/>
  <c r="W33" i="1"/>
  <c r="V37" i="1"/>
  <c r="V41" i="1"/>
  <c r="V45" i="1"/>
  <c r="W45" i="1"/>
</calcChain>
</file>

<file path=xl/sharedStrings.xml><?xml version="1.0" encoding="utf-8"?>
<sst xmlns="http://schemas.openxmlformats.org/spreadsheetml/2006/main" count="201" uniqueCount="33">
  <si>
    <t>ID</t>
  </si>
  <si>
    <t>Sexe</t>
  </si>
  <si>
    <t>Qualification</t>
  </si>
  <si>
    <t>Jours Travaillés Semaine 1</t>
  </si>
  <si>
    <t>Jours Travaillés Semaine 2</t>
  </si>
  <si>
    <t>Repos</t>
  </si>
  <si>
    <t>Heures Semaine 1</t>
  </si>
  <si>
    <t>Heures Semaine 2</t>
  </si>
  <si>
    <t>Salaire</t>
  </si>
  <si>
    <t>Réunion</t>
  </si>
  <si>
    <t>Nombre Entrainement</t>
  </si>
  <si>
    <t>Jours de plan d'eau</t>
  </si>
  <si>
    <t>Heures Quinzaine</t>
  </si>
  <si>
    <t>Jours Travaillés Quinzaine</t>
  </si>
  <si>
    <t>Plan d'eau</t>
  </si>
  <si>
    <t>Secteur</t>
  </si>
  <si>
    <t>Département</t>
  </si>
  <si>
    <t>Début Quinzaine</t>
  </si>
  <si>
    <t>Fin Quinzaine</t>
  </si>
  <si>
    <t>Nombre Jours Quinzaine</t>
  </si>
  <si>
    <t>Quinzaine</t>
  </si>
  <si>
    <t>Comp Smic-HN</t>
  </si>
  <si>
    <t>Comp Smic-JN</t>
  </si>
  <si>
    <t>verif Heure</t>
  </si>
  <si>
    <t>vérif jour</t>
  </si>
  <si>
    <t>Homme</t>
  </si>
  <si>
    <t>CPO</t>
  </si>
  <si>
    <t>Saint-Pierre</t>
  </si>
  <si>
    <t>Aude</t>
  </si>
  <si>
    <t>Femme</t>
  </si>
  <si>
    <t>SA</t>
  </si>
  <si>
    <t>SQ</t>
  </si>
  <si>
    <t>CPL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</si>
</sst>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7E1B-75A6-A446-9330-84DD9CE036FF}">
  <dimension ref="A1:Z45"/>
  <sheetViews>
    <sheetView tabSelected="1" workbookViewId="0">
      <selection activeCell="I26" sqref="I26"/>
    </sheetView>
  </sheetViews>
  <sheetFormatPr baseColWidth="10" defaultRowHeight="16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3" t="s">
        <v>23</v>
      </c>
      <c r="Z1" s="3" t="s">
        <v>24</v>
      </c>
    </row>
    <row r="2" spans="1:26" x14ac:dyDescent="0.2">
      <c r="A2" s="1">
        <v>1</v>
      </c>
      <c r="B2" s="1" t="s">
        <v>25</v>
      </c>
      <c r="C2" s="1" t="s">
        <v>26</v>
      </c>
      <c r="D2" s="1">
        <v>7</v>
      </c>
      <c r="E2" s="1">
        <v>6</v>
      </c>
      <c r="F2" s="1">
        <f t="shared" ref="F2:F45" si="0">T2-N2</f>
        <v>2</v>
      </c>
      <c r="G2" s="2">
        <v>2.2361111111111112</v>
      </c>
      <c r="H2" s="2">
        <v>1.75</v>
      </c>
      <c r="I2" s="1">
        <v>1007.76</v>
      </c>
      <c r="J2" s="1">
        <v>0</v>
      </c>
      <c r="K2" s="1">
        <v>0</v>
      </c>
      <c r="L2" s="1">
        <v>0</v>
      </c>
      <c r="M2" s="2">
        <v>3.9861111111111112</v>
      </c>
      <c r="N2" s="1">
        <v>13</v>
      </c>
      <c r="O2" s="1" t="str">
        <f t="shared" ref="O2:O45" si="1">IF(L2&gt;=1, "Oui", "Non")</f>
        <v>Non</v>
      </c>
      <c r="P2" s="1" t="s">
        <v>27</v>
      </c>
      <c r="Q2" s="1" t="s">
        <v>28</v>
      </c>
      <c r="R2" s="4">
        <v>45824</v>
      </c>
      <c r="S2" s="4">
        <v>45838</v>
      </c>
      <c r="T2" s="1">
        <f>S2-R2+1</f>
        <v>15</v>
      </c>
      <c r="U2" s="1" t="str">
        <f>YEAR(R2) &amp; "-" &amp; TEXT(R2,"mm") &amp; "-Q" &amp; IF(DAY(R2) &lt;= 15, 1, 2)</f>
        <v>2025-06-Q2</v>
      </c>
      <c r="V2" s="5">
        <f t="shared" ref="V2:V45" si="2">IFERROR(I2/(M2*24),0)</f>
        <v>10.534076655052264</v>
      </c>
      <c r="W2" s="5">
        <f t="shared" ref="W2:W45" si="3">IFERROR(I2/N2,0)</f>
        <v>77.52</v>
      </c>
      <c r="Y2" t="str">
        <f t="shared" ref="Y2:Y45" si="4">IF(G2+H2=M2,"Vrai","Faux")</f>
        <v>Vrai</v>
      </c>
      <c r="Z2" t="str">
        <f t="shared" ref="Z2:Z45" si="5">IF(D2+E2=N2,"Vrai","Faux")</f>
        <v>Vrai</v>
      </c>
    </row>
    <row r="3" spans="1:26" x14ac:dyDescent="0.2">
      <c r="A3" s="1">
        <f>2</f>
        <v>2</v>
      </c>
      <c r="B3" s="1" t="s">
        <v>29</v>
      </c>
      <c r="C3" s="1" t="s">
        <v>26</v>
      </c>
      <c r="D3" s="1">
        <v>2</v>
      </c>
      <c r="E3" s="1">
        <v>6</v>
      </c>
      <c r="F3" s="1">
        <f t="shared" si="0"/>
        <v>7</v>
      </c>
      <c r="G3" s="2">
        <v>0.63888888888888884</v>
      </c>
      <c r="H3" s="2">
        <v>1.7916666666666667</v>
      </c>
      <c r="I3" s="1">
        <v>620.55999999999995</v>
      </c>
      <c r="J3" s="1">
        <v>0</v>
      </c>
      <c r="K3" s="1">
        <v>0</v>
      </c>
      <c r="L3" s="1">
        <v>0</v>
      </c>
      <c r="M3" s="2">
        <v>2.4305555555555554</v>
      </c>
      <c r="N3" s="1">
        <v>8</v>
      </c>
      <c r="O3" s="1" t="str">
        <f t="shared" si="1"/>
        <v>Non</v>
      </c>
      <c r="P3" s="1" t="s">
        <v>27</v>
      </c>
      <c r="Q3" s="1" t="s">
        <v>28</v>
      </c>
      <c r="R3" s="4">
        <v>45824</v>
      </c>
      <c r="S3" s="4">
        <v>45838</v>
      </c>
      <c r="T3" s="1">
        <f t="shared" ref="T3:T45" si="6">S3-R3+1</f>
        <v>15</v>
      </c>
      <c r="U3" s="1" t="str">
        <f t="shared" ref="U3:U45" si="7">YEAR(R3) &amp; "-" &amp; TEXT(R3,"mm") &amp; "-Q" &amp; IF(DAY(R3) &lt;= 15, 1, 2)</f>
        <v>2025-06-Q2</v>
      </c>
      <c r="V3" s="5">
        <f t="shared" si="2"/>
        <v>10.638171428571429</v>
      </c>
      <c r="W3" s="5">
        <f t="shared" si="3"/>
        <v>77.569999999999993</v>
      </c>
      <c r="Y3" t="str">
        <f t="shared" si="4"/>
        <v>Vrai</v>
      </c>
      <c r="Z3" t="str">
        <f t="shared" si="5"/>
        <v>Vrai</v>
      </c>
    </row>
    <row r="4" spans="1:26" x14ac:dyDescent="0.2">
      <c r="A4" s="1">
        <v>3</v>
      </c>
      <c r="B4" s="1" t="s">
        <v>29</v>
      </c>
      <c r="C4" s="1" t="s">
        <v>30</v>
      </c>
      <c r="D4" s="1">
        <v>4</v>
      </c>
      <c r="E4" s="1">
        <v>5</v>
      </c>
      <c r="F4" s="1">
        <f t="shared" si="0"/>
        <v>6</v>
      </c>
      <c r="G4" s="2">
        <v>1.1944444444444444</v>
      </c>
      <c r="H4" s="2">
        <v>1.4305555555555556</v>
      </c>
      <c r="I4" s="1">
        <v>639.54</v>
      </c>
      <c r="J4" s="1">
        <v>0</v>
      </c>
      <c r="K4" s="1">
        <v>0</v>
      </c>
      <c r="L4" s="1">
        <v>0</v>
      </c>
      <c r="M4" s="2">
        <v>2.625</v>
      </c>
      <c r="N4" s="1">
        <v>9</v>
      </c>
      <c r="O4" s="1" t="str">
        <f t="shared" si="1"/>
        <v>Non</v>
      </c>
      <c r="P4" s="1" t="s">
        <v>27</v>
      </c>
      <c r="Q4" s="1" t="s">
        <v>28</v>
      </c>
      <c r="R4" s="4">
        <v>45824</v>
      </c>
      <c r="S4" s="4">
        <v>45838</v>
      </c>
      <c r="T4" s="1">
        <f t="shared" si="6"/>
        <v>15</v>
      </c>
      <c r="U4" s="1" t="str">
        <f t="shared" si="7"/>
        <v>2025-06-Q2</v>
      </c>
      <c r="V4" s="5">
        <f t="shared" si="2"/>
        <v>10.151428571428571</v>
      </c>
      <c r="W4" s="5">
        <f t="shared" si="3"/>
        <v>71.06</v>
      </c>
      <c r="Y4" t="str">
        <f t="shared" si="4"/>
        <v>Vrai</v>
      </c>
      <c r="Z4" t="str">
        <f t="shared" si="5"/>
        <v>Vrai</v>
      </c>
    </row>
    <row r="5" spans="1:26" x14ac:dyDescent="0.2">
      <c r="A5" s="1">
        <v>4</v>
      </c>
      <c r="B5" s="1" t="s">
        <v>25</v>
      </c>
      <c r="C5" s="1" t="s">
        <v>30</v>
      </c>
      <c r="D5" s="1">
        <v>4</v>
      </c>
      <c r="E5" s="1">
        <v>4</v>
      </c>
      <c r="F5" s="1">
        <f t="shared" si="0"/>
        <v>7</v>
      </c>
      <c r="G5" s="2">
        <v>1.1944444444444444</v>
      </c>
      <c r="H5" s="2">
        <v>1.1944444444444444</v>
      </c>
      <c r="I5" s="1">
        <v>568</v>
      </c>
      <c r="J5" s="1">
        <v>0</v>
      </c>
      <c r="K5" s="1">
        <v>0</v>
      </c>
      <c r="L5" s="1">
        <v>0</v>
      </c>
      <c r="M5" s="2">
        <v>2.3888888888888888</v>
      </c>
      <c r="N5" s="1">
        <v>8</v>
      </c>
      <c r="O5" s="1" t="str">
        <f t="shared" si="1"/>
        <v>Non</v>
      </c>
      <c r="P5" s="1" t="s">
        <v>27</v>
      </c>
      <c r="Q5" s="1" t="s">
        <v>28</v>
      </c>
      <c r="R5" s="4">
        <v>45824</v>
      </c>
      <c r="S5" s="4">
        <v>45838</v>
      </c>
      <c r="T5" s="1">
        <f t="shared" si="6"/>
        <v>15</v>
      </c>
      <c r="U5" s="1" t="str">
        <f t="shared" si="7"/>
        <v>2025-06-Q2</v>
      </c>
      <c r="V5" s="5">
        <f t="shared" si="2"/>
        <v>9.9069767441860481</v>
      </c>
      <c r="W5" s="5">
        <f t="shared" si="3"/>
        <v>71</v>
      </c>
      <c r="Y5" t="str">
        <f t="shared" si="4"/>
        <v>Vrai</v>
      </c>
      <c r="Z5" t="str">
        <f t="shared" si="5"/>
        <v>Vrai</v>
      </c>
    </row>
    <row r="6" spans="1:26" x14ac:dyDescent="0.2">
      <c r="A6" s="1">
        <v>5</v>
      </c>
      <c r="B6" s="1" t="s">
        <v>25</v>
      </c>
      <c r="C6" s="1" t="s">
        <v>31</v>
      </c>
      <c r="D6" s="1">
        <v>8</v>
      </c>
      <c r="E6" s="1">
        <v>6</v>
      </c>
      <c r="F6" s="1">
        <f t="shared" si="0"/>
        <v>1</v>
      </c>
      <c r="G6" s="2">
        <v>2.4722222222222223</v>
      </c>
      <c r="H6" s="2">
        <v>1.75</v>
      </c>
      <c r="I6" s="1">
        <v>1049.02</v>
      </c>
      <c r="J6" s="1">
        <v>0</v>
      </c>
      <c r="K6" s="1">
        <v>0</v>
      </c>
      <c r="L6" s="1">
        <v>0</v>
      </c>
      <c r="M6" s="2">
        <v>4.2222222222222223</v>
      </c>
      <c r="N6" s="1">
        <v>14</v>
      </c>
      <c r="O6" s="1" t="str">
        <f t="shared" si="1"/>
        <v>Non</v>
      </c>
      <c r="P6" s="1" t="s">
        <v>27</v>
      </c>
      <c r="Q6" s="1" t="s">
        <v>28</v>
      </c>
      <c r="R6" s="4">
        <v>45824</v>
      </c>
      <c r="S6" s="4">
        <v>45838</v>
      </c>
      <c r="T6" s="1">
        <f t="shared" si="6"/>
        <v>15</v>
      </c>
      <c r="U6" s="1" t="str">
        <f t="shared" si="7"/>
        <v>2025-06-Q2</v>
      </c>
      <c r="V6" s="5">
        <f t="shared" si="2"/>
        <v>10.352171052631578</v>
      </c>
      <c r="W6" s="5">
        <f t="shared" si="3"/>
        <v>74.929999999999993</v>
      </c>
      <c r="Y6" t="str">
        <f t="shared" si="4"/>
        <v>Vrai</v>
      </c>
      <c r="Z6" t="str">
        <f t="shared" si="5"/>
        <v>Vrai</v>
      </c>
    </row>
    <row r="7" spans="1:26" x14ac:dyDescent="0.2">
      <c r="A7" s="1">
        <v>6</v>
      </c>
      <c r="B7" s="1" t="s">
        <v>25</v>
      </c>
      <c r="C7" s="1" t="s">
        <v>31</v>
      </c>
      <c r="D7" s="1">
        <v>7</v>
      </c>
      <c r="E7" s="1">
        <v>5</v>
      </c>
      <c r="F7" s="1">
        <f t="shared" si="0"/>
        <v>3</v>
      </c>
      <c r="G7" s="2">
        <v>2.1319444444444446</v>
      </c>
      <c r="H7" s="2">
        <v>1.4722222222222223</v>
      </c>
      <c r="I7" s="1">
        <v>899.16</v>
      </c>
      <c r="J7" s="1">
        <v>0</v>
      </c>
      <c r="K7" s="1">
        <v>0</v>
      </c>
      <c r="L7" s="1">
        <v>0</v>
      </c>
      <c r="M7" s="2">
        <f>G7+H7</f>
        <v>3.604166666666667</v>
      </c>
      <c r="N7" s="1">
        <v>12</v>
      </c>
      <c r="O7" s="1" t="str">
        <f t="shared" si="1"/>
        <v>Non</v>
      </c>
      <c r="P7" s="1" t="s">
        <v>27</v>
      </c>
      <c r="Q7" s="1" t="s">
        <v>28</v>
      </c>
      <c r="R7" s="4">
        <v>45824</v>
      </c>
      <c r="S7" s="4">
        <v>45838</v>
      </c>
      <c r="T7" s="1">
        <f t="shared" si="6"/>
        <v>15</v>
      </c>
      <c r="U7" s="1" t="str">
        <f t="shared" si="7"/>
        <v>2025-06-Q2</v>
      </c>
      <c r="V7" s="5">
        <f t="shared" si="2"/>
        <v>10.394913294797687</v>
      </c>
      <c r="W7" s="5">
        <f t="shared" si="3"/>
        <v>74.929999999999993</v>
      </c>
      <c r="Y7" t="str">
        <f t="shared" si="4"/>
        <v>Vrai</v>
      </c>
      <c r="Z7" t="str">
        <f t="shared" si="5"/>
        <v>Vrai</v>
      </c>
    </row>
    <row r="8" spans="1:26" x14ac:dyDescent="0.2">
      <c r="A8" s="1">
        <v>7</v>
      </c>
      <c r="B8" s="1" t="s">
        <v>25</v>
      </c>
      <c r="C8" s="1" t="s">
        <v>31</v>
      </c>
      <c r="D8" s="1">
        <v>7</v>
      </c>
      <c r="E8" s="1">
        <v>5</v>
      </c>
      <c r="F8" s="1">
        <f t="shared" si="0"/>
        <v>3</v>
      </c>
      <c r="G8" s="2">
        <v>2.1527777777777777</v>
      </c>
      <c r="H8" s="2">
        <v>1.5138888888888888</v>
      </c>
      <c r="I8" s="1">
        <v>899.16</v>
      </c>
      <c r="J8" s="1">
        <v>0</v>
      </c>
      <c r="K8" s="1">
        <v>0</v>
      </c>
      <c r="L8" s="1">
        <v>0</v>
      </c>
      <c r="M8" s="2">
        <v>3.6666666666666665</v>
      </c>
      <c r="N8" s="1">
        <v>12</v>
      </c>
      <c r="O8" s="1" t="str">
        <f t="shared" si="1"/>
        <v>Non</v>
      </c>
      <c r="P8" s="1" t="s">
        <v>27</v>
      </c>
      <c r="Q8" s="1" t="s">
        <v>28</v>
      </c>
      <c r="R8" s="4">
        <v>45824</v>
      </c>
      <c r="S8" s="4">
        <v>45838</v>
      </c>
      <c r="T8" s="1">
        <f t="shared" si="6"/>
        <v>15</v>
      </c>
      <c r="U8" s="1" t="str">
        <f t="shared" si="7"/>
        <v>2025-06-Q2</v>
      </c>
      <c r="V8" s="5">
        <f t="shared" si="2"/>
        <v>10.217727272727272</v>
      </c>
      <c r="W8" s="5">
        <f t="shared" si="3"/>
        <v>74.929999999999993</v>
      </c>
      <c r="Y8" t="str">
        <f t="shared" si="4"/>
        <v>Vrai</v>
      </c>
      <c r="Z8" t="str">
        <f t="shared" si="5"/>
        <v>Vrai</v>
      </c>
    </row>
    <row r="9" spans="1:26" x14ac:dyDescent="0.2">
      <c r="A9" s="1">
        <v>8</v>
      </c>
      <c r="B9" s="1" t="s">
        <v>29</v>
      </c>
      <c r="C9" s="1" t="s">
        <v>31</v>
      </c>
      <c r="D9" s="1">
        <v>1</v>
      </c>
      <c r="E9" s="1">
        <v>6</v>
      </c>
      <c r="F9" s="1">
        <f t="shared" si="0"/>
        <v>8</v>
      </c>
      <c r="G9" s="2">
        <v>0.27777777777777779</v>
      </c>
      <c r="H9" s="2">
        <v>1.6666666666666667</v>
      </c>
      <c r="I9" s="1">
        <v>524</v>
      </c>
      <c r="J9" s="1">
        <v>0</v>
      </c>
      <c r="K9" s="1">
        <v>0</v>
      </c>
      <c r="L9" s="1">
        <v>0</v>
      </c>
      <c r="M9" s="2">
        <v>1.9444444444444444</v>
      </c>
      <c r="N9" s="1">
        <v>7</v>
      </c>
      <c r="O9" s="1" t="str">
        <f t="shared" si="1"/>
        <v>Non</v>
      </c>
      <c r="P9" s="1" t="s">
        <v>27</v>
      </c>
      <c r="Q9" s="1" t="s">
        <v>28</v>
      </c>
      <c r="R9" s="4">
        <v>45824</v>
      </c>
      <c r="S9" s="4">
        <v>45838</v>
      </c>
      <c r="T9" s="1">
        <f>S9-R9+1</f>
        <v>15</v>
      </c>
      <c r="U9" s="1" t="str">
        <f>YEAR(R9) &amp; "-" &amp; TEXT(R9,"mm") &amp; "-Q" &amp; IF(DAY(R9) &lt;= 15, 1, 2)</f>
        <v>2025-06-Q2</v>
      </c>
      <c r="V9" s="5">
        <f t="shared" si="2"/>
        <v>11.22857142857143</v>
      </c>
      <c r="W9" s="5">
        <f t="shared" si="3"/>
        <v>74.857142857142861</v>
      </c>
      <c r="Y9" t="str">
        <f t="shared" si="4"/>
        <v>Vrai</v>
      </c>
      <c r="Z9" t="str">
        <f t="shared" si="5"/>
        <v>Vrai</v>
      </c>
    </row>
    <row r="10" spans="1:26" x14ac:dyDescent="0.2">
      <c r="A10" s="1">
        <v>9</v>
      </c>
      <c r="B10" s="1" t="s">
        <v>29</v>
      </c>
      <c r="C10" s="1" t="s">
        <v>31</v>
      </c>
      <c r="D10" s="1">
        <v>0</v>
      </c>
      <c r="E10" s="1">
        <v>6</v>
      </c>
      <c r="F10" s="1">
        <f t="shared" si="0"/>
        <v>9</v>
      </c>
      <c r="G10" s="2">
        <v>0</v>
      </c>
      <c r="H10" s="2">
        <v>1.7916666666666667</v>
      </c>
      <c r="I10" s="1">
        <v>449.58</v>
      </c>
      <c r="J10" s="1">
        <v>0</v>
      </c>
      <c r="K10" s="1">
        <v>0</v>
      </c>
      <c r="L10" s="1">
        <v>0</v>
      </c>
      <c r="M10" s="2">
        <v>1.7916666666666667</v>
      </c>
      <c r="N10" s="1">
        <v>6</v>
      </c>
      <c r="O10" s="1" t="str">
        <f t="shared" si="1"/>
        <v>Non</v>
      </c>
      <c r="P10" s="1" t="s">
        <v>27</v>
      </c>
      <c r="Q10" s="1" t="s">
        <v>28</v>
      </c>
      <c r="R10" s="4">
        <v>45824</v>
      </c>
      <c r="S10" s="4">
        <v>45838</v>
      </c>
      <c r="T10" s="1">
        <f t="shared" si="6"/>
        <v>15</v>
      </c>
      <c r="U10" s="1" t="str">
        <f t="shared" si="7"/>
        <v>2025-06-Q2</v>
      </c>
      <c r="V10" s="5">
        <f t="shared" si="2"/>
        <v>10.455348837209302</v>
      </c>
      <c r="W10" s="5">
        <f t="shared" si="3"/>
        <v>74.929999999999993</v>
      </c>
      <c r="Y10" t="str">
        <f t="shared" si="4"/>
        <v>Vrai</v>
      </c>
      <c r="Z10" t="str">
        <f t="shared" si="5"/>
        <v>Vrai</v>
      </c>
    </row>
    <row r="11" spans="1:26" x14ac:dyDescent="0.2">
      <c r="A11" s="1">
        <v>10</v>
      </c>
      <c r="B11" s="1" t="s">
        <v>25</v>
      </c>
      <c r="C11" s="1" t="s">
        <v>32</v>
      </c>
      <c r="D11" s="1">
        <v>7</v>
      </c>
      <c r="E11" s="1">
        <v>5</v>
      </c>
      <c r="F11" s="1">
        <f t="shared" si="0"/>
        <v>3</v>
      </c>
      <c r="G11" s="2">
        <v>2.1111111111111112</v>
      </c>
      <c r="H11" s="2">
        <v>1.4305555555555556</v>
      </c>
      <c r="I11" s="1">
        <v>972.20399999999995</v>
      </c>
      <c r="J11" s="1">
        <v>0</v>
      </c>
      <c r="K11" s="1">
        <v>0</v>
      </c>
      <c r="L11" s="1">
        <v>0</v>
      </c>
      <c r="M11" s="2">
        <v>3.5416666666666665</v>
      </c>
      <c r="N11" s="1">
        <v>12</v>
      </c>
      <c r="O11" s="1" t="str">
        <f t="shared" si="1"/>
        <v>Non</v>
      </c>
      <c r="P11" s="1" t="s">
        <v>27</v>
      </c>
      <c r="Q11" s="1" t="s">
        <v>28</v>
      </c>
      <c r="R11" s="4">
        <v>45824</v>
      </c>
      <c r="S11" s="4">
        <v>45838</v>
      </c>
      <c r="T11" s="1">
        <f t="shared" si="6"/>
        <v>15</v>
      </c>
      <c r="U11" s="1" t="str">
        <f t="shared" si="7"/>
        <v>2025-06-Q2</v>
      </c>
      <c r="V11" s="5">
        <f t="shared" si="2"/>
        <v>11.437694117647059</v>
      </c>
      <c r="W11" s="5">
        <f t="shared" si="3"/>
        <v>81.016999999999996</v>
      </c>
      <c r="Y11" t="str">
        <f t="shared" si="4"/>
        <v>Vrai</v>
      </c>
      <c r="Z11" t="str">
        <f t="shared" si="5"/>
        <v>Vrai</v>
      </c>
    </row>
    <row r="12" spans="1:26" x14ac:dyDescent="0.2">
      <c r="A12" s="1">
        <v>11</v>
      </c>
      <c r="B12" s="1" t="s">
        <v>29</v>
      </c>
      <c r="C12" s="1" t="s">
        <v>31</v>
      </c>
      <c r="D12" s="1">
        <v>0</v>
      </c>
      <c r="E12" s="1">
        <v>1</v>
      </c>
      <c r="F12" s="1">
        <f t="shared" si="0"/>
        <v>14</v>
      </c>
      <c r="G12" s="2">
        <v>0</v>
      </c>
      <c r="H12" s="2">
        <v>0.2986111111111111</v>
      </c>
      <c r="I12" s="1">
        <v>75</v>
      </c>
      <c r="J12" s="1">
        <v>0</v>
      </c>
      <c r="K12" s="1">
        <v>0</v>
      </c>
      <c r="L12" s="1">
        <v>0</v>
      </c>
      <c r="M12" s="2">
        <v>0.2986111111111111</v>
      </c>
      <c r="N12" s="1">
        <v>1</v>
      </c>
      <c r="O12" s="1" t="str">
        <f t="shared" si="1"/>
        <v>Non</v>
      </c>
      <c r="P12" s="1" t="s">
        <v>27</v>
      </c>
      <c r="Q12" s="1" t="s">
        <v>28</v>
      </c>
      <c r="R12" s="4">
        <v>45824</v>
      </c>
      <c r="S12" s="4">
        <v>45838</v>
      </c>
      <c r="T12" s="1">
        <f t="shared" si="6"/>
        <v>15</v>
      </c>
      <c r="U12" s="1" t="str">
        <f t="shared" si="7"/>
        <v>2025-06-Q2</v>
      </c>
      <c r="V12" s="5">
        <f t="shared" si="2"/>
        <v>10.465116279069768</v>
      </c>
      <c r="W12" s="5">
        <f t="shared" si="3"/>
        <v>75</v>
      </c>
      <c r="Y12" t="str">
        <f t="shared" si="4"/>
        <v>Vrai</v>
      </c>
      <c r="Z12" t="str">
        <f t="shared" si="5"/>
        <v>Vrai</v>
      </c>
    </row>
    <row r="13" spans="1:26" x14ac:dyDescent="0.2">
      <c r="A13" s="1">
        <v>12</v>
      </c>
      <c r="B13" s="1" t="s">
        <v>25</v>
      </c>
      <c r="C13" s="1" t="s">
        <v>31</v>
      </c>
      <c r="D13" s="1">
        <v>3</v>
      </c>
      <c r="E13" s="1">
        <v>7</v>
      </c>
      <c r="F13" s="1">
        <f t="shared" si="0"/>
        <v>5</v>
      </c>
      <c r="G13" s="2">
        <v>0.91666666666666663</v>
      </c>
      <c r="H13" s="2">
        <v>2.1111111111111112</v>
      </c>
      <c r="I13" s="1">
        <v>899.16</v>
      </c>
      <c r="J13" s="1">
        <v>0</v>
      </c>
      <c r="K13" s="1">
        <v>0</v>
      </c>
      <c r="L13" s="1">
        <v>0</v>
      </c>
      <c r="M13" s="2">
        <v>3.0277777777777777</v>
      </c>
      <c r="N13" s="1">
        <v>10</v>
      </c>
      <c r="O13" s="1" t="str">
        <f t="shared" si="1"/>
        <v>Non</v>
      </c>
      <c r="P13" s="1" t="s">
        <v>27</v>
      </c>
      <c r="Q13" s="1" t="s">
        <v>28</v>
      </c>
      <c r="R13" s="4">
        <v>45824</v>
      </c>
      <c r="S13" s="4">
        <v>45838</v>
      </c>
      <c r="T13" s="1">
        <f>S13-R13+1</f>
        <v>15</v>
      </c>
      <c r="U13" s="1" t="str">
        <f>YEAR(R13) &amp; "-" &amp; TEXT(R13,"mm") &amp; "-Q" &amp; IF(DAY(R13) &lt;= 15, 1, 2)</f>
        <v>2025-06-Q2</v>
      </c>
      <c r="V13" s="5">
        <f t="shared" si="2"/>
        <v>12.37376146788991</v>
      </c>
      <c r="W13" s="5">
        <f t="shared" si="3"/>
        <v>89.915999999999997</v>
      </c>
      <c r="Y13" t="str">
        <f t="shared" si="4"/>
        <v>Vrai</v>
      </c>
      <c r="Z13" t="str">
        <f t="shared" si="5"/>
        <v>Vrai</v>
      </c>
    </row>
    <row r="14" spans="1:26" x14ac:dyDescent="0.2">
      <c r="A14" s="1">
        <f>6</f>
        <v>6</v>
      </c>
      <c r="B14" s="1" t="s">
        <v>25</v>
      </c>
      <c r="C14" s="1" t="s">
        <v>31</v>
      </c>
      <c r="D14" s="1">
        <v>6</v>
      </c>
      <c r="E14" s="1">
        <v>5</v>
      </c>
      <c r="F14" s="1">
        <f t="shared" si="0"/>
        <v>4</v>
      </c>
      <c r="G14" s="2">
        <v>1.2222222222222223</v>
      </c>
      <c r="H14" s="2">
        <v>1.2083333333333333</v>
      </c>
      <c r="I14" s="1">
        <v>782.91</v>
      </c>
      <c r="J14" s="1">
        <v>0</v>
      </c>
      <c r="K14" s="1">
        <v>3</v>
      </c>
      <c r="L14" s="1">
        <v>6</v>
      </c>
      <c r="M14" s="2">
        <v>2.4305555555555554</v>
      </c>
      <c r="N14" s="1">
        <v>11</v>
      </c>
      <c r="O14" s="1" t="str">
        <f t="shared" si="1"/>
        <v>Oui</v>
      </c>
      <c r="P14" s="1" t="s">
        <v>27</v>
      </c>
      <c r="Q14" s="1" t="s">
        <v>28</v>
      </c>
      <c r="R14" s="4">
        <v>45839</v>
      </c>
      <c r="S14" s="4">
        <v>45853</v>
      </c>
      <c r="T14" s="1">
        <f t="shared" si="6"/>
        <v>15</v>
      </c>
      <c r="U14" s="1" t="str">
        <f t="shared" si="7"/>
        <v>2025-07-Q1</v>
      </c>
      <c r="V14" s="5">
        <f t="shared" si="2"/>
        <v>13.421314285714287</v>
      </c>
      <c r="W14" s="5">
        <f t="shared" si="3"/>
        <v>71.173636363636362</v>
      </c>
      <c r="Y14" t="str">
        <f t="shared" si="4"/>
        <v>Vrai</v>
      </c>
      <c r="Z14" t="str">
        <f t="shared" si="5"/>
        <v>Vrai</v>
      </c>
    </row>
    <row r="15" spans="1:26" x14ac:dyDescent="0.2">
      <c r="A15" s="1">
        <v>5</v>
      </c>
      <c r="B15" s="1" t="s">
        <v>25</v>
      </c>
      <c r="C15" s="1" t="s">
        <v>31</v>
      </c>
      <c r="D15" s="1">
        <v>5</v>
      </c>
      <c r="E15" s="1">
        <v>6</v>
      </c>
      <c r="F15" s="1">
        <f t="shared" si="0"/>
        <v>4</v>
      </c>
      <c r="G15" s="2">
        <v>1.5972222222222223</v>
      </c>
      <c r="H15" s="2">
        <v>1.8541666666666667</v>
      </c>
      <c r="I15" s="1">
        <v>782.91</v>
      </c>
      <c r="J15" s="1">
        <v>1</v>
      </c>
      <c r="K15" s="1">
        <v>6</v>
      </c>
      <c r="L15" s="1">
        <v>0</v>
      </c>
      <c r="M15" s="2">
        <v>3.4513888888888888</v>
      </c>
      <c r="N15" s="1">
        <v>11</v>
      </c>
      <c r="O15" s="1" t="str">
        <f t="shared" si="1"/>
        <v>Non</v>
      </c>
      <c r="P15" s="1" t="s">
        <v>27</v>
      </c>
      <c r="Q15" s="1" t="s">
        <v>28</v>
      </c>
      <c r="R15" s="4">
        <v>45839</v>
      </c>
      <c r="S15" s="4">
        <v>45853</v>
      </c>
      <c r="T15" s="1">
        <f t="shared" si="6"/>
        <v>15</v>
      </c>
      <c r="U15" s="1" t="str">
        <f t="shared" si="7"/>
        <v>2025-07-Q1</v>
      </c>
      <c r="V15" s="5">
        <f t="shared" si="2"/>
        <v>9.4516297786720322</v>
      </c>
      <c r="W15" s="5">
        <f t="shared" si="3"/>
        <v>71.173636363636362</v>
      </c>
      <c r="Y15" t="str">
        <f t="shared" si="4"/>
        <v>Vrai</v>
      </c>
      <c r="Z15" t="str">
        <f t="shared" si="5"/>
        <v>Vrai</v>
      </c>
    </row>
    <row r="16" spans="1:26" x14ac:dyDescent="0.2">
      <c r="A16" s="1">
        <v>12</v>
      </c>
      <c r="B16" s="1" t="s">
        <v>25</v>
      </c>
      <c r="C16" s="1" t="s">
        <v>31</v>
      </c>
      <c r="D16" s="1">
        <v>5</v>
      </c>
      <c r="E16" s="1">
        <v>6</v>
      </c>
      <c r="F16" s="1">
        <f t="shared" si="0"/>
        <v>4</v>
      </c>
      <c r="G16" s="2">
        <v>1.7222222222222223</v>
      </c>
      <c r="H16" s="2">
        <v>1.8541666666666667</v>
      </c>
      <c r="I16" s="1">
        <v>782.91</v>
      </c>
      <c r="J16" s="1">
        <v>1</v>
      </c>
      <c r="K16" s="1">
        <v>7</v>
      </c>
      <c r="L16" s="1">
        <v>0</v>
      </c>
      <c r="M16" s="2">
        <v>3.5763888888888888</v>
      </c>
      <c r="N16" s="1">
        <v>11</v>
      </c>
      <c r="O16" s="1" t="str">
        <f t="shared" si="1"/>
        <v>Non</v>
      </c>
      <c r="P16" s="1" t="s">
        <v>27</v>
      </c>
      <c r="Q16" s="1" t="s">
        <v>28</v>
      </c>
      <c r="R16" s="4">
        <v>45839</v>
      </c>
      <c r="S16" s="4">
        <v>45853</v>
      </c>
      <c r="T16" s="1">
        <f t="shared" si="6"/>
        <v>15</v>
      </c>
      <c r="U16" s="1" t="str">
        <f t="shared" si="7"/>
        <v>2025-07-Q1</v>
      </c>
      <c r="V16" s="5">
        <f t="shared" si="2"/>
        <v>9.1212815533980578</v>
      </c>
      <c r="W16" s="5">
        <f t="shared" si="3"/>
        <v>71.173636363636362</v>
      </c>
      <c r="Y16" t="str">
        <f t="shared" si="4"/>
        <v>Vrai</v>
      </c>
      <c r="Z16" t="str">
        <f t="shared" si="5"/>
        <v>Vrai</v>
      </c>
    </row>
    <row r="17" spans="1:26" x14ac:dyDescent="0.2">
      <c r="A17" s="1">
        <v>1</v>
      </c>
      <c r="B17" s="1" t="s">
        <v>25</v>
      </c>
      <c r="C17" s="1" t="s">
        <v>26</v>
      </c>
      <c r="D17" s="1">
        <v>7</v>
      </c>
      <c r="E17" s="1">
        <v>6</v>
      </c>
      <c r="F17" s="1">
        <f t="shared" si="0"/>
        <v>2</v>
      </c>
      <c r="G17" s="2">
        <v>2.4236111111111112</v>
      </c>
      <c r="H17" s="2">
        <v>1.8958333333333333</v>
      </c>
      <c r="I17" s="1">
        <v>981.92</v>
      </c>
      <c r="J17" s="1">
        <v>1</v>
      </c>
      <c r="K17" s="1">
        <v>7</v>
      </c>
      <c r="L17" s="1">
        <v>0</v>
      </c>
      <c r="M17" s="2">
        <v>4.3194444444444446</v>
      </c>
      <c r="N17" s="1">
        <v>13</v>
      </c>
      <c r="O17" s="1" t="str">
        <f t="shared" si="1"/>
        <v>Non</v>
      </c>
      <c r="P17" s="1" t="s">
        <v>27</v>
      </c>
      <c r="Q17" s="1" t="s">
        <v>28</v>
      </c>
      <c r="R17" s="4">
        <v>45839</v>
      </c>
      <c r="S17" s="4">
        <v>45853</v>
      </c>
      <c r="T17" s="1">
        <f t="shared" si="6"/>
        <v>15</v>
      </c>
      <c r="U17" s="1" t="str">
        <f t="shared" si="7"/>
        <v>2025-07-Q1</v>
      </c>
      <c r="V17" s="5">
        <f t="shared" si="2"/>
        <v>9.4718971061093242</v>
      </c>
      <c r="W17" s="5">
        <f t="shared" si="3"/>
        <v>75.532307692307683</v>
      </c>
      <c r="Y17" t="str">
        <f t="shared" si="4"/>
        <v>Vrai</v>
      </c>
      <c r="Z17" t="str">
        <f t="shared" si="5"/>
        <v>Vrai</v>
      </c>
    </row>
    <row r="18" spans="1:26" x14ac:dyDescent="0.2">
      <c r="A18" s="1">
        <v>13</v>
      </c>
      <c r="B18" s="1" t="s">
        <v>29</v>
      </c>
      <c r="C18" s="1" t="s">
        <v>31</v>
      </c>
      <c r="D18" s="1">
        <v>5</v>
      </c>
      <c r="E18" s="1">
        <v>1</v>
      </c>
      <c r="F18" s="1">
        <f t="shared" si="0"/>
        <v>9</v>
      </c>
      <c r="G18" s="2">
        <v>1.6805555555555556</v>
      </c>
      <c r="H18" s="2">
        <v>0.27777777777777779</v>
      </c>
      <c r="I18" s="1">
        <v>428.92</v>
      </c>
      <c r="J18" s="1">
        <v>0</v>
      </c>
      <c r="K18" s="1">
        <v>3</v>
      </c>
      <c r="L18" s="1">
        <v>0</v>
      </c>
      <c r="M18" s="2">
        <v>1.9583333333333333</v>
      </c>
      <c r="N18" s="1">
        <v>6</v>
      </c>
      <c r="O18" s="1" t="str">
        <f t="shared" si="1"/>
        <v>Non</v>
      </c>
      <c r="P18" s="1" t="s">
        <v>27</v>
      </c>
      <c r="Q18" s="1" t="s">
        <v>28</v>
      </c>
      <c r="R18" s="4">
        <v>45839</v>
      </c>
      <c r="S18" s="4">
        <v>45853</v>
      </c>
      <c r="T18" s="1">
        <f t="shared" si="6"/>
        <v>15</v>
      </c>
      <c r="U18" s="1" t="str">
        <f t="shared" si="7"/>
        <v>2025-07-Q1</v>
      </c>
      <c r="V18" s="5">
        <f t="shared" si="2"/>
        <v>9.1259574468085116</v>
      </c>
      <c r="W18" s="5">
        <f t="shared" si="3"/>
        <v>71.486666666666665</v>
      </c>
      <c r="Y18" t="str">
        <f t="shared" si="4"/>
        <v>Vrai</v>
      </c>
      <c r="Z18" t="str">
        <f t="shared" si="5"/>
        <v>Vrai</v>
      </c>
    </row>
    <row r="19" spans="1:26" x14ac:dyDescent="0.2">
      <c r="A19" s="1">
        <v>9</v>
      </c>
      <c r="B19" s="1" t="s">
        <v>29</v>
      </c>
      <c r="C19" s="1" t="s">
        <v>31</v>
      </c>
      <c r="D19" s="1">
        <v>5</v>
      </c>
      <c r="E19" s="1">
        <v>5</v>
      </c>
      <c r="F19" s="1">
        <f t="shared" si="0"/>
        <v>5</v>
      </c>
      <c r="G19" s="2">
        <v>1.8472222222222223</v>
      </c>
      <c r="H19" s="2">
        <v>1.5416666666666667</v>
      </c>
      <c r="I19" s="1">
        <v>728.64</v>
      </c>
      <c r="J19" s="1">
        <v>0</v>
      </c>
      <c r="K19" s="1">
        <v>7</v>
      </c>
      <c r="L19" s="1">
        <v>0</v>
      </c>
      <c r="M19" s="2">
        <v>3.3888888888888888</v>
      </c>
      <c r="N19" s="1">
        <v>10</v>
      </c>
      <c r="O19" s="1" t="str">
        <f t="shared" si="1"/>
        <v>Non</v>
      </c>
      <c r="P19" s="1" t="s">
        <v>27</v>
      </c>
      <c r="Q19" s="1" t="s">
        <v>28</v>
      </c>
      <c r="R19" s="4">
        <v>45839</v>
      </c>
      <c r="S19" s="4">
        <v>45853</v>
      </c>
      <c r="T19" s="1">
        <f t="shared" si="6"/>
        <v>15</v>
      </c>
      <c r="U19" s="1" t="str">
        <f t="shared" si="7"/>
        <v>2025-07-Q1</v>
      </c>
      <c r="V19" s="5">
        <f t="shared" si="2"/>
        <v>8.9586885245901637</v>
      </c>
      <c r="W19" s="5">
        <f t="shared" si="3"/>
        <v>72.864000000000004</v>
      </c>
      <c r="Y19" t="str">
        <f t="shared" si="4"/>
        <v>Vrai</v>
      </c>
      <c r="Z19" t="str">
        <f t="shared" si="5"/>
        <v>Vrai</v>
      </c>
    </row>
    <row r="20" spans="1:26" x14ac:dyDescent="0.2">
      <c r="A20" s="1">
        <v>7</v>
      </c>
      <c r="B20" s="1" t="s">
        <v>25</v>
      </c>
      <c r="C20" s="1" t="s">
        <v>31</v>
      </c>
      <c r="D20" s="1">
        <v>7</v>
      </c>
      <c r="E20" s="1">
        <v>6</v>
      </c>
      <c r="F20" s="1">
        <f t="shared" si="0"/>
        <v>2</v>
      </c>
      <c r="G20" s="2">
        <v>2.3194444444444446</v>
      </c>
      <c r="H20" s="2">
        <v>1.875</v>
      </c>
      <c r="I20" s="1">
        <v>932.77</v>
      </c>
      <c r="J20" s="1">
        <v>1</v>
      </c>
      <c r="K20" s="1">
        <v>7</v>
      </c>
      <c r="L20" s="1">
        <v>0</v>
      </c>
      <c r="M20" s="2">
        <v>4.1944444444444446</v>
      </c>
      <c r="N20" s="1">
        <v>13</v>
      </c>
      <c r="O20" s="1" t="str">
        <f t="shared" si="1"/>
        <v>Non</v>
      </c>
      <c r="P20" s="1" t="s">
        <v>27</v>
      </c>
      <c r="Q20" s="1" t="s">
        <v>28</v>
      </c>
      <c r="R20" s="4">
        <v>45839</v>
      </c>
      <c r="S20" s="4">
        <v>45853</v>
      </c>
      <c r="T20" s="1">
        <f t="shared" si="6"/>
        <v>15</v>
      </c>
      <c r="U20" s="1" t="str">
        <f t="shared" si="7"/>
        <v>2025-07-Q1</v>
      </c>
      <c r="V20" s="5">
        <f t="shared" si="2"/>
        <v>9.2659271523178806</v>
      </c>
      <c r="W20" s="5">
        <f t="shared" si="3"/>
        <v>71.751538461538459</v>
      </c>
      <c r="Y20" t="str">
        <f t="shared" si="4"/>
        <v>Vrai</v>
      </c>
      <c r="Z20" t="str">
        <f t="shared" si="5"/>
        <v>Vrai</v>
      </c>
    </row>
    <row r="21" spans="1:26" x14ac:dyDescent="0.2">
      <c r="A21" s="1">
        <v>14</v>
      </c>
      <c r="B21" s="1" t="s">
        <v>25</v>
      </c>
      <c r="C21" s="1" t="s">
        <v>30</v>
      </c>
      <c r="D21" s="1">
        <v>7</v>
      </c>
      <c r="E21" s="1">
        <v>6</v>
      </c>
      <c r="F21" s="1">
        <f t="shared" si="0"/>
        <v>2</v>
      </c>
      <c r="G21" s="2">
        <v>2.0486111111111112</v>
      </c>
      <c r="H21" s="2">
        <v>1.9166666666666667</v>
      </c>
      <c r="I21" s="1">
        <v>897.94</v>
      </c>
      <c r="J21" s="1">
        <v>1</v>
      </c>
      <c r="K21" s="1">
        <v>7</v>
      </c>
      <c r="L21" s="1">
        <v>0</v>
      </c>
      <c r="M21" s="2">
        <v>3.9652777777777777</v>
      </c>
      <c r="N21" s="1">
        <v>13</v>
      </c>
      <c r="O21" s="1" t="str">
        <f t="shared" si="1"/>
        <v>Non</v>
      </c>
      <c r="P21" s="1" t="s">
        <v>27</v>
      </c>
      <c r="Q21" s="1" t="s">
        <v>28</v>
      </c>
      <c r="R21" s="4">
        <v>45839</v>
      </c>
      <c r="S21" s="4">
        <v>45853</v>
      </c>
      <c r="T21" s="1">
        <f t="shared" si="6"/>
        <v>15</v>
      </c>
      <c r="U21" s="1" t="str">
        <f t="shared" si="7"/>
        <v>2025-07-Q1</v>
      </c>
      <c r="V21" s="5">
        <f t="shared" si="2"/>
        <v>9.4354465849387061</v>
      </c>
      <c r="W21" s="5">
        <f t="shared" si="3"/>
        <v>69.072307692307703</v>
      </c>
      <c r="Y21" t="str">
        <f t="shared" si="4"/>
        <v>Vrai</v>
      </c>
      <c r="Z21" t="str">
        <f t="shared" si="5"/>
        <v>Vrai</v>
      </c>
    </row>
    <row r="22" spans="1:26" x14ac:dyDescent="0.2">
      <c r="A22" s="1">
        <v>11</v>
      </c>
      <c r="B22" s="1" t="s">
        <v>29</v>
      </c>
      <c r="C22" s="1" t="s">
        <v>31</v>
      </c>
      <c r="D22" s="1">
        <v>7</v>
      </c>
      <c r="E22" s="1">
        <v>5</v>
      </c>
      <c r="F22" s="1">
        <f t="shared" si="0"/>
        <v>3</v>
      </c>
      <c r="G22" s="2">
        <v>1.5833333333333333</v>
      </c>
      <c r="H22" s="2">
        <v>1.2083333333333333</v>
      </c>
      <c r="I22" s="1">
        <v>849.84</v>
      </c>
      <c r="J22" s="1">
        <v>0</v>
      </c>
      <c r="K22" s="1">
        <v>2</v>
      </c>
      <c r="L22" s="1">
        <v>6</v>
      </c>
      <c r="M22" s="2">
        <v>2.7916666666666665</v>
      </c>
      <c r="N22" s="1">
        <v>12</v>
      </c>
      <c r="O22" s="1" t="str">
        <f t="shared" si="1"/>
        <v>Oui</v>
      </c>
      <c r="P22" s="1" t="s">
        <v>27</v>
      </c>
      <c r="Q22" s="1" t="s">
        <v>28</v>
      </c>
      <c r="R22" s="4">
        <v>45839</v>
      </c>
      <c r="S22" s="4">
        <v>45853</v>
      </c>
      <c r="T22" s="1">
        <f t="shared" si="6"/>
        <v>15</v>
      </c>
      <c r="U22" s="1" t="str">
        <f t="shared" si="7"/>
        <v>2025-07-Q1</v>
      </c>
      <c r="V22" s="5">
        <f t="shared" si="2"/>
        <v>12.684179104477613</v>
      </c>
      <c r="W22" s="5">
        <f t="shared" si="3"/>
        <v>70.820000000000007</v>
      </c>
      <c r="Y22" t="str">
        <f t="shared" si="4"/>
        <v>Vrai</v>
      </c>
      <c r="Z22" t="str">
        <f t="shared" si="5"/>
        <v>Vrai</v>
      </c>
    </row>
    <row r="23" spans="1:26" x14ac:dyDescent="0.2">
      <c r="A23" s="1">
        <v>15</v>
      </c>
      <c r="B23" s="1" t="s">
        <v>25</v>
      </c>
      <c r="C23" s="1" t="s">
        <v>30</v>
      </c>
      <c r="D23" s="1">
        <v>0</v>
      </c>
      <c r="E23" s="1">
        <v>5</v>
      </c>
      <c r="F23" s="1">
        <f t="shared" si="0"/>
        <v>10</v>
      </c>
      <c r="G23" s="2">
        <v>0</v>
      </c>
      <c r="H23" s="2">
        <v>1.4305555555555556</v>
      </c>
      <c r="I23" s="1">
        <v>342.38</v>
      </c>
      <c r="J23" s="1">
        <v>0</v>
      </c>
      <c r="K23" s="1">
        <v>1</v>
      </c>
      <c r="L23" s="1">
        <v>0</v>
      </c>
      <c r="M23" s="2">
        <v>1.4305555555555556</v>
      </c>
      <c r="N23" s="1">
        <v>5</v>
      </c>
      <c r="O23" s="1" t="str">
        <f t="shared" si="1"/>
        <v>Non</v>
      </c>
      <c r="P23" s="1" t="s">
        <v>27</v>
      </c>
      <c r="Q23" s="1" t="s">
        <v>28</v>
      </c>
      <c r="R23" s="4">
        <v>45839</v>
      </c>
      <c r="S23" s="4">
        <v>45853</v>
      </c>
      <c r="T23" s="1">
        <f t="shared" si="6"/>
        <v>15</v>
      </c>
      <c r="U23" s="1" t="str">
        <f t="shared" si="7"/>
        <v>2025-07-Q1</v>
      </c>
      <c r="V23" s="5">
        <f t="shared" si="2"/>
        <v>9.9722330097087362</v>
      </c>
      <c r="W23" s="5">
        <f t="shared" si="3"/>
        <v>68.475999999999999</v>
      </c>
      <c r="Y23" t="str">
        <f t="shared" si="4"/>
        <v>Vrai</v>
      </c>
      <c r="Z23" t="str">
        <f t="shared" si="5"/>
        <v>Vrai</v>
      </c>
    </row>
    <row r="24" spans="1:26" x14ac:dyDescent="0.2">
      <c r="A24" s="1">
        <v>3</v>
      </c>
      <c r="B24" s="1" t="s">
        <v>29</v>
      </c>
      <c r="C24" s="1" t="s">
        <v>30</v>
      </c>
      <c r="D24" s="1">
        <v>5</v>
      </c>
      <c r="E24" s="1">
        <v>4</v>
      </c>
      <c r="F24" s="1">
        <f t="shared" si="0"/>
        <v>6</v>
      </c>
      <c r="G24" s="2">
        <v>1.5972222222222223</v>
      </c>
      <c r="H24" s="2">
        <v>1.1944444444444444</v>
      </c>
      <c r="I24" s="1">
        <v>626.62</v>
      </c>
      <c r="J24" s="1">
        <v>1</v>
      </c>
      <c r="K24" s="1">
        <v>5</v>
      </c>
      <c r="L24" s="1">
        <v>0</v>
      </c>
      <c r="M24" s="2">
        <v>2.7916666666666665</v>
      </c>
      <c r="N24" s="1">
        <v>9</v>
      </c>
      <c r="O24" s="1" t="str">
        <f t="shared" si="1"/>
        <v>Non</v>
      </c>
      <c r="P24" s="1" t="s">
        <v>27</v>
      </c>
      <c r="Q24" s="1" t="s">
        <v>28</v>
      </c>
      <c r="R24" s="4">
        <v>45839</v>
      </c>
      <c r="S24" s="4">
        <v>45853</v>
      </c>
      <c r="T24" s="1">
        <f t="shared" si="6"/>
        <v>15</v>
      </c>
      <c r="U24" s="1" t="str">
        <f t="shared" si="7"/>
        <v>2025-07-Q1</v>
      </c>
      <c r="V24" s="5">
        <f t="shared" si="2"/>
        <v>9.3525373134328351</v>
      </c>
      <c r="W24" s="5">
        <f t="shared" si="3"/>
        <v>69.62444444444445</v>
      </c>
      <c r="Y24" t="str">
        <f t="shared" si="4"/>
        <v>Vrai</v>
      </c>
      <c r="Z24" t="str">
        <f t="shared" si="5"/>
        <v>Vrai</v>
      </c>
    </row>
    <row r="25" spans="1:26" x14ac:dyDescent="0.2">
      <c r="A25" s="1">
        <f>2</f>
        <v>2</v>
      </c>
      <c r="B25" s="1" t="s">
        <v>29</v>
      </c>
      <c r="C25" s="1" t="s">
        <v>26</v>
      </c>
      <c r="D25" s="1">
        <v>7</v>
      </c>
      <c r="E25" s="1">
        <v>5</v>
      </c>
      <c r="F25" s="1">
        <f t="shared" si="0"/>
        <v>3</v>
      </c>
      <c r="G25" s="2">
        <v>2.2361111111111112</v>
      </c>
      <c r="H25" s="2">
        <v>1.4305555555555556</v>
      </c>
      <c r="I25" s="1">
        <v>904.4</v>
      </c>
      <c r="J25" s="1">
        <v>0</v>
      </c>
      <c r="K25" s="1">
        <v>7</v>
      </c>
      <c r="L25" s="1">
        <v>0</v>
      </c>
      <c r="M25" s="2">
        <v>3.6666666666666665</v>
      </c>
      <c r="N25" s="1">
        <v>12</v>
      </c>
      <c r="O25" s="1" t="str">
        <f t="shared" si="1"/>
        <v>Non</v>
      </c>
      <c r="P25" s="1" t="s">
        <v>27</v>
      </c>
      <c r="Q25" s="1" t="s">
        <v>28</v>
      </c>
      <c r="R25" s="4">
        <v>45839</v>
      </c>
      <c r="S25" s="4">
        <v>45853</v>
      </c>
      <c r="T25" s="1">
        <f t="shared" si="6"/>
        <v>15</v>
      </c>
      <c r="U25" s="1" t="str">
        <f t="shared" si="7"/>
        <v>2025-07-Q1</v>
      </c>
      <c r="V25" s="5">
        <f t="shared" si="2"/>
        <v>10.277272727272727</v>
      </c>
      <c r="W25" s="5">
        <f t="shared" si="3"/>
        <v>75.36666666666666</v>
      </c>
      <c r="Y25" t="str">
        <f t="shared" si="4"/>
        <v>Vrai</v>
      </c>
      <c r="Z25" t="str">
        <f t="shared" si="5"/>
        <v>Vrai</v>
      </c>
    </row>
    <row r="26" spans="1:26" x14ac:dyDescent="0.2">
      <c r="A26" s="1">
        <v>16</v>
      </c>
      <c r="B26" s="1" t="s">
        <v>29</v>
      </c>
      <c r="C26" s="1" t="s">
        <v>30</v>
      </c>
      <c r="D26" s="1">
        <v>0</v>
      </c>
      <c r="E26" s="1">
        <v>1</v>
      </c>
      <c r="F26" s="1">
        <f t="shared" si="0"/>
        <v>14</v>
      </c>
      <c r="G26" s="2">
        <v>0</v>
      </c>
      <c r="H26" s="2">
        <v>0.2986111111111111</v>
      </c>
      <c r="I26" s="1">
        <v>71.06</v>
      </c>
      <c r="J26" s="1">
        <v>0</v>
      </c>
      <c r="K26" s="1">
        <v>0</v>
      </c>
      <c r="L26" s="1">
        <v>0</v>
      </c>
      <c r="M26" s="2">
        <v>0.2986111111111111</v>
      </c>
      <c r="N26" s="1">
        <v>1</v>
      </c>
      <c r="O26" s="1" t="str">
        <f t="shared" si="1"/>
        <v>Non</v>
      </c>
      <c r="P26" s="1" t="s">
        <v>27</v>
      </c>
      <c r="Q26" s="1" t="s">
        <v>28</v>
      </c>
      <c r="R26" s="4">
        <v>45839</v>
      </c>
      <c r="S26" s="4">
        <v>45853</v>
      </c>
      <c r="T26" s="1">
        <f t="shared" si="6"/>
        <v>15</v>
      </c>
      <c r="U26" s="1" t="str">
        <f t="shared" si="7"/>
        <v>2025-07-Q1</v>
      </c>
      <c r="V26" s="5">
        <f t="shared" si="2"/>
        <v>9.9153488372093026</v>
      </c>
      <c r="W26" s="5">
        <f t="shared" si="3"/>
        <v>71.06</v>
      </c>
      <c r="Y26" t="str">
        <f t="shared" si="4"/>
        <v>Vrai</v>
      </c>
      <c r="Z26" t="str">
        <f t="shared" si="5"/>
        <v>Vrai</v>
      </c>
    </row>
    <row r="27" spans="1:26" x14ac:dyDescent="0.2">
      <c r="A27" s="1">
        <v>17</v>
      </c>
      <c r="B27" s="1" t="s">
        <v>25</v>
      </c>
      <c r="C27" s="1" t="s">
        <v>30</v>
      </c>
      <c r="D27" s="1">
        <v>5</v>
      </c>
      <c r="E27" s="1">
        <v>5</v>
      </c>
      <c r="F27" s="1">
        <f t="shared" si="0"/>
        <v>5</v>
      </c>
      <c r="G27" s="2">
        <v>1.7013888888888888</v>
      </c>
      <c r="H27" s="2">
        <v>1.5347222222222223</v>
      </c>
      <c r="I27" s="1">
        <v>697.58</v>
      </c>
      <c r="J27" s="1">
        <v>1</v>
      </c>
      <c r="K27" s="1">
        <v>7</v>
      </c>
      <c r="L27" s="1">
        <v>4</v>
      </c>
      <c r="M27" s="2">
        <v>3.2361111111111112</v>
      </c>
      <c r="N27" s="1">
        <v>10</v>
      </c>
      <c r="O27" s="1" t="str">
        <f t="shared" si="1"/>
        <v>Oui</v>
      </c>
      <c r="P27" s="1" t="s">
        <v>27</v>
      </c>
      <c r="Q27" s="1" t="s">
        <v>28</v>
      </c>
      <c r="R27" s="4">
        <v>45839</v>
      </c>
      <c r="S27" s="4">
        <v>45853</v>
      </c>
      <c r="T27" s="1">
        <f t="shared" si="6"/>
        <v>15</v>
      </c>
      <c r="U27" s="1" t="str">
        <f t="shared" si="7"/>
        <v>2025-07-Q1</v>
      </c>
      <c r="V27" s="5">
        <f t="shared" si="2"/>
        <v>8.9817167381974254</v>
      </c>
      <c r="W27" s="5">
        <f t="shared" si="3"/>
        <v>69.75800000000001</v>
      </c>
      <c r="Y27" t="str">
        <f t="shared" si="4"/>
        <v>Vrai</v>
      </c>
      <c r="Z27" t="str">
        <f t="shared" si="5"/>
        <v>Vrai</v>
      </c>
    </row>
    <row r="28" spans="1:26" x14ac:dyDescent="0.2">
      <c r="A28" s="1">
        <v>4</v>
      </c>
      <c r="B28" s="1" t="s">
        <v>25</v>
      </c>
      <c r="C28" s="1" t="s">
        <v>30</v>
      </c>
      <c r="D28" s="1">
        <v>4</v>
      </c>
      <c r="E28" s="1">
        <v>6</v>
      </c>
      <c r="F28" s="1">
        <f t="shared" si="0"/>
        <v>5</v>
      </c>
      <c r="G28" s="2">
        <v>1.4097222222222223</v>
      </c>
      <c r="H28" s="2">
        <v>1.7986111111111112</v>
      </c>
      <c r="I28" s="1">
        <v>697.68</v>
      </c>
      <c r="J28" s="1">
        <v>1</v>
      </c>
      <c r="K28" s="1">
        <v>7</v>
      </c>
      <c r="L28" s="1">
        <v>2</v>
      </c>
      <c r="M28" s="2">
        <v>3.2083333333333335</v>
      </c>
      <c r="N28" s="1">
        <v>10</v>
      </c>
      <c r="O28" s="1" t="str">
        <f t="shared" si="1"/>
        <v>Oui</v>
      </c>
      <c r="P28" s="1" t="s">
        <v>27</v>
      </c>
      <c r="Q28" s="1" t="s">
        <v>28</v>
      </c>
      <c r="R28" s="4">
        <v>45839</v>
      </c>
      <c r="S28" s="4">
        <v>45853</v>
      </c>
      <c r="T28" s="1">
        <f t="shared" si="6"/>
        <v>15</v>
      </c>
      <c r="U28" s="1" t="str">
        <f t="shared" si="7"/>
        <v>2025-07-Q1</v>
      </c>
      <c r="V28" s="5">
        <f t="shared" si="2"/>
        <v>9.0607792207792208</v>
      </c>
      <c r="W28" s="5">
        <f t="shared" si="3"/>
        <v>69.768000000000001</v>
      </c>
      <c r="Y28" t="str">
        <f t="shared" si="4"/>
        <v>Vrai</v>
      </c>
      <c r="Z28" t="str">
        <f t="shared" si="5"/>
        <v>Vrai</v>
      </c>
    </row>
    <row r="29" spans="1:26" x14ac:dyDescent="0.2">
      <c r="A29" s="1">
        <v>1</v>
      </c>
      <c r="B29" s="1" t="s">
        <v>25</v>
      </c>
      <c r="C29" s="1" t="s">
        <v>26</v>
      </c>
      <c r="D29" s="1">
        <v>7</v>
      </c>
      <c r="E29" s="1">
        <v>6</v>
      </c>
      <c r="F29" s="1">
        <f t="shared" si="0"/>
        <v>3</v>
      </c>
      <c r="G29" s="2">
        <v>2.2986111111111112</v>
      </c>
      <c r="H29" s="2">
        <v>1.6666666666666667</v>
      </c>
      <c r="I29" s="1">
        <v>994.84</v>
      </c>
      <c r="J29" s="1">
        <v>0</v>
      </c>
      <c r="K29" s="1">
        <v>6</v>
      </c>
      <c r="L29" s="1">
        <v>0</v>
      </c>
      <c r="M29" s="2">
        <v>3.9652777777777777</v>
      </c>
      <c r="N29" s="1">
        <v>13</v>
      </c>
      <c r="O29" s="1" t="str">
        <f t="shared" si="1"/>
        <v>Non</v>
      </c>
      <c r="P29" s="1" t="s">
        <v>27</v>
      </c>
      <c r="Q29" s="1" t="s">
        <v>28</v>
      </c>
      <c r="R29" s="4">
        <v>45854</v>
      </c>
      <c r="S29" s="4">
        <v>45869</v>
      </c>
      <c r="T29" s="1">
        <f t="shared" si="6"/>
        <v>16</v>
      </c>
      <c r="U29" s="1" t="str">
        <f t="shared" si="7"/>
        <v>2025-07-Q2</v>
      </c>
      <c r="V29" s="5">
        <f t="shared" si="2"/>
        <v>10.453660245183888</v>
      </c>
      <c r="W29" s="5">
        <f t="shared" si="3"/>
        <v>76.526153846153846</v>
      </c>
      <c r="Y29" t="str">
        <f t="shared" si="4"/>
        <v>Vrai</v>
      </c>
      <c r="Z29" t="str">
        <f t="shared" si="5"/>
        <v>Vrai</v>
      </c>
    </row>
    <row r="30" spans="1:26" x14ac:dyDescent="0.2">
      <c r="A30" s="1">
        <v>12</v>
      </c>
      <c r="B30" s="1" t="s">
        <v>25</v>
      </c>
      <c r="C30" s="1" t="s">
        <v>31</v>
      </c>
      <c r="D30" s="1">
        <v>6</v>
      </c>
      <c r="E30" s="1">
        <v>5</v>
      </c>
      <c r="F30" s="1">
        <f t="shared" si="0"/>
        <v>5</v>
      </c>
      <c r="G30" s="2">
        <v>1.8541666666666667</v>
      </c>
      <c r="H30" s="2">
        <v>1.4305555555555556</v>
      </c>
      <c r="I30" s="1">
        <v>782.91</v>
      </c>
      <c r="J30" s="1">
        <v>0</v>
      </c>
      <c r="K30" s="1">
        <v>5</v>
      </c>
      <c r="L30" s="1">
        <v>0</v>
      </c>
      <c r="M30" s="2">
        <v>3.2847222222222223</v>
      </c>
      <c r="N30" s="1">
        <v>11</v>
      </c>
      <c r="O30" s="1" t="str">
        <f t="shared" si="1"/>
        <v>Non</v>
      </c>
      <c r="P30" s="1" t="s">
        <v>27</v>
      </c>
      <c r="Q30" s="1" t="s">
        <v>28</v>
      </c>
      <c r="R30" s="4">
        <v>45854</v>
      </c>
      <c r="S30" s="4">
        <v>45869</v>
      </c>
      <c r="T30" s="1">
        <f t="shared" si="6"/>
        <v>16</v>
      </c>
      <c r="U30" s="1" t="str">
        <f t="shared" si="7"/>
        <v>2025-07-Q2</v>
      </c>
      <c r="V30" s="5">
        <f t="shared" si="2"/>
        <v>9.9312050739957698</v>
      </c>
      <c r="W30" s="5">
        <f t="shared" si="3"/>
        <v>71.173636363636362</v>
      </c>
      <c r="Y30" t="str">
        <f t="shared" si="4"/>
        <v>Vrai</v>
      </c>
      <c r="Z30" t="str">
        <f t="shared" si="5"/>
        <v>Vrai</v>
      </c>
    </row>
    <row r="31" spans="1:26" x14ac:dyDescent="0.2">
      <c r="A31" s="1">
        <f>6</f>
        <v>6</v>
      </c>
      <c r="B31" s="1" t="s">
        <v>25</v>
      </c>
      <c r="C31" s="1" t="s">
        <v>31</v>
      </c>
      <c r="D31" s="1">
        <v>6</v>
      </c>
      <c r="E31" s="1">
        <v>5</v>
      </c>
      <c r="F31" s="1">
        <f t="shared" si="0"/>
        <v>5</v>
      </c>
      <c r="G31" s="2">
        <v>1.8333333333333333</v>
      </c>
      <c r="H31" s="2">
        <v>1.3055555555555556</v>
      </c>
      <c r="I31" s="1">
        <v>782.91</v>
      </c>
      <c r="J31" s="1">
        <v>0</v>
      </c>
      <c r="K31" s="1">
        <v>3</v>
      </c>
      <c r="L31" s="1">
        <v>0</v>
      </c>
      <c r="M31" s="2">
        <f t="shared" ref="M31:M45" si="8">G31+H31</f>
        <v>3.1388888888888888</v>
      </c>
      <c r="N31" s="1">
        <v>11</v>
      </c>
      <c r="O31" s="1" t="str">
        <f t="shared" si="1"/>
        <v>Non</v>
      </c>
      <c r="P31" s="1" t="s">
        <v>27</v>
      </c>
      <c r="Q31" s="1" t="s">
        <v>28</v>
      </c>
      <c r="R31" s="4">
        <v>45854</v>
      </c>
      <c r="S31" s="4">
        <v>45869</v>
      </c>
      <c r="T31" s="1">
        <f t="shared" si="6"/>
        <v>16</v>
      </c>
      <c r="U31" s="1" t="str">
        <f t="shared" si="7"/>
        <v>2025-07-Q2</v>
      </c>
      <c r="V31" s="5">
        <f t="shared" si="2"/>
        <v>10.392610619469027</v>
      </c>
      <c r="W31" s="5">
        <f t="shared" si="3"/>
        <v>71.173636363636362</v>
      </c>
      <c r="Y31" t="str">
        <f t="shared" si="4"/>
        <v>Vrai</v>
      </c>
      <c r="Z31" t="str">
        <f t="shared" si="5"/>
        <v>Vrai</v>
      </c>
    </row>
    <row r="32" spans="1:26" x14ac:dyDescent="0.2">
      <c r="A32" s="1">
        <v>14</v>
      </c>
      <c r="B32" s="1" t="s">
        <v>25</v>
      </c>
      <c r="C32" s="1" t="s">
        <v>30</v>
      </c>
      <c r="D32" s="1">
        <v>6</v>
      </c>
      <c r="E32" s="1">
        <v>6</v>
      </c>
      <c r="F32" s="1">
        <f t="shared" si="0"/>
        <v>4</v>
      </c>
      <c r="G32" s="2">
        <v>1.3333333333333333</v>
      </c>
      <c r="H32" s="2">
        <v>1.6041666666666667</v>
      </c>
      <c r="I32" s="1">
        <v>813.96</v>
      </c>
      <c r="J32" s="1">
        <v>0</v>
      </c>
      <c r="K32" s="1">
        <v>4</v>
      </c>
      <c r="L32" s="1">
        <v>7</v>
      </c>
      <c r="M32" s="2">
        <f t="shared" si="8"/>
        <v>2.9375</v>
      </c>
      <c r="N32" s="1">
        <v>12</v>
      </c>
      <c r="O32" s="1" t="str">
        <f t="shared" si="1"/>
        <v>Oui</v>
      </c>
      <c r="P32" s="1" t="s">
        <v>27</v>
      </c>
      <c r="Q32" s="1" t="s">
        <v>28</v>
      </c>
      <c r="R32" s="4">
        <v>45854</v>
      </c>
      <c r="S32" s="4">
        <v>45869</v>
      </c>
      <c r="T32" s="1">
        <f t="shared" si="6"/>
        <v>16</v>
      </c>
      <c r="U32" s="1" t="str">
        <f t="shared" si="7"/>
        <v>2025-07-Q2</v>
      </c>
      <c r="V32" s="5">
        <f t="shared" si="2"/>
        <v>11.545531914893617</v>
      </c>
      <c r="W32" s="5">
        <f t="shared" si="3"/>
        <v>67.83</v>
      </c>
      <c r="Y32" t="str">
        <f t="shared" si="4"/>
        <v>Vrai</v>
      </c>
      <c r="Z32" t="str">
        <f t="shared" si="5"/>
        <v>Vrai</v>
      </c>
    </row>
    <row r="33" spans="1:26" x14ac:dyDescent="0.2">
      <c r="A33" s="1">
        <v>18</v>
      </c>
      <c r="B33" s="1" t="s">
        <v>25</v>
      </c>
      <c r="C33" s="1" t="s">
        <v>26</v>
      </c>
      <c r="D33" s="1">
        <v>7</v>
      </c>
      <c r="E33" s="1">
        <v>6</v>
      </c>
      <c r="F33" s="1">
        <f t="shared" si="0"/>
        <v>3</v>
      </c>
      <c r="G33" s="2">
        <v>2.4444444444444446</v>
      </c>
      <c r="H33" s="2">
        <v>1.6666666666666667</v>
      </c>
      <c r="I33" s="1">
        <v>994.84</v>
      </c>
      <c r="J33" s="1">
        <v>0</v>
      </c>
      <c r="K33" s="1">
        <v>6</v>
      </c>
      <c r="L33" s="1">
        <v>0</v>
      </c>
      <c r="M33" s="2">
        <f t="shared" si="8"/>
        <v>4.1111111111111116</v>
      </c>
      <c r="N33" s="1">
        <f t="shared" ref="N33:N45" si="9">D33+E33</f>
        <v>13</v>
      </c>
      <c r="O33" s="1" t="str">
        <f t="shared" si="1"/>
        <v>Non</v>
      </c>
      <c r="P33" s="1" t="s">
        <v>27</v>
      </c>
      <c r="Q33" s="1" t="s">
        <v>28</v>
      </c>
      <c r="R33" s="4">
        <v>45854</v>
      </c>
      <c r="S33" s="4">
        <v>45869</v>
      </c>
      <c r="T33" s="1">
        <f t="shared" si="6"/>
        <v>16</v>
      </c>
      <c r="U33" s="1" t="str">
        <f t="shared" si="7"/>
        <v>2025-07-Q2</v>
      </c>
      <c r="V33" s="5">
        <f t="shared" si="2"/>
        <v>10.082837837837836</v>
      </c>
      <c r="W33" s="5">
        <f t="shared" si="3"/>
        <v>76.526153846153846</v>
      </c>
      <c r="Y33" t="str">
        <f t="shared" si="4"/>
        <v>Vrai</v>
      </c>
      <c r="Z33" t="str">
        <f t="shared" si="5"/>
        <v>Vrai</v>
      </c>
    </row>
    <row r="34" spans="1:26" x14ac:dyDescent="0.2">
      <c r="A34" s="1">
        <f>2</f>
        <v>2</v>
      </c>
      <c r="B34" s="1" t="s">
        <v>29</v>
      </c>
      <c r="C34" s="1" t="s">
        <v>26</v>
      </c>
      <c r="D34" s="1">
        <v>7</v>
      </c>
      <c r="E34" s="1">
        <v>6</v>
      </c>
      <c r="F34" s="1">
        <f t="shared" si="0"/>
        <v>3</v>
      </c>
      <c r="G34" s="2">
        <v>2.0763888888888888</v>
      </c>
      <c r="H34" s="2">
        <v>1.6458333333333333</v>
      </c>
      <c r="I34" s="1">
        <v>994.84</v>
      </c>
      <c r="J34" s="1">
        <v>0</v>
      </c>
      <c r="K34" s="1">
        <v>5</v>
      </c>
      <c r="L34" s="1">
        <v>0</v>
      </c>
      <c r="M34" s="2">
        <f t="shared" si="8"/>
        <v>3.7222222222222223</v>
      </c>
      <c r="N34" s="1">
        <f t="shared" si="9"/>
        <v>13</v>
      </c>
      <c r="O34" s="1" t="str">
        <f t="shared" si="1"/>
        <v>Non</v>
      </c>
      <c r="P34" s="1" t="s">
        <v>27</v>
      </c>
      <c r="Q34" s="1" t="s">
        <v>28</v>
      </c>
      <c r="R34" s="4">
        <v>45854</v>
      </c>
      <c r="S34" s="4">
        <v>45869</v>
      </c>
      <c r="T34" s="1">
        <f t="shared" si="6"/>
        <v>16</v>
      </c>
      <c r="U34" s="1" t="str">
        <f t="shared" si="7"/>
        <v>2025-07-Q2</v>
      </c>
      <c r="V34" s="5">
        <f t="shared" si="2"/>
        <v>11.136268656716418</v>
      </c>
      <c r="W34" s="5">
        <f t="shared" si="3"/>
        <v>76.526153846153846</v>
      </c>
      <c r="Y34" t="str">
        <f t="shared" si="4"/>
        <v>Vrai</v>
      </c>
      <c r="Z34" t="str">
        <f t="shared" si="5"/>
        <v>Vrai</v>
      </c>
    </row>
    <row r="35" spans="1:26" x14ac:dyDescent="0.2">
      <c r="A35" s="1">
        <v>16</v>
      </c>
      <c r="B35" s="1" t="s">
        <v>29</v>
      </c>
      <c r="C35" s="1" t="s">
        <v>30</v>
      </c>
      <c r="D35" s="1">
        <v>6</v>
      </c>
      <c r="E35" s="1">
        <v>6</v>
      </c>
      <c r="F35" s="1">
        <f t="shared" si="0"/>
        <v>4</v>
      </c>
      <c r="G35" s="2">
        <v>2.0416666666666665</v>
      </c>
      <c r="H35" s="2">
        <v>1.5625</v>
      </c>
      <c r="I35" s="1">
        <v>813.96</v>
      </c>
      <c r="J35" s="1">
        <v>0</v>
      </c>
      <c r="K35" s="1">
        <v>4</v>
      </c>
      <c r="L35" s="1">
        <v>0</v>
      </c>
      <c r="M35" s="2">
        <f t="shared" si="8"/>
        <v>3.6041666666666665</v>
      </c>
      <c r="N35" s="1">
        <f t="shared" si="9"/>
        <v>12</v>
      </c>
      <c r="O35" s="1" t="str">
        <f t="shared" si="1"/>
        <v>Non</v>
      </c>
      <c r="P35" s="1" t="s">
        <v>27</v>
      </c>
      <c r="Q35" s="1" t="s">
        <v>28</v>
      </c>
      <c r="R35" s="4">
        <v>45854</v>
      </c>
      <c r="S35" s="4">
        <v>45869</v>
      </c>
      <c r="T35" s="1">
        <f t="shared" si="6"/>
        <v>16</v>
      </c>
      <c r="U35" s="1" t="str">
        <f t="shared" si="7"/>
        <v>2025-07-Q2</v>
      </c>
      <c r="V35" s="5">
        <f t="shared" si="2"/>
        <v>9.4099421965317926</v>
      </c>
      <c r="W35" s="5">
        <f t="shared" si="3"/>
        <v>67.83</v>
      </c>
      <c r="Y35" t="str">
        <f t="shared" si="4"/>
        <v>Vrai</v>
      </c>
      <c r="Z35" t="str">
        <f t="shared" si="5"/>
        <v>Vrai</v>
      </c>
    </row>
    <row r="36" spans="1:26" x14ac:dyDescent="0.2">
      <c r="A36" s="1">
        <v>13</v>
      </c>
      <c r="B36" s="1" t="s">
        <v>29</v>
      </c>
      <c r="C36" s="1" t="s">
        <v>31</v>
      </c>
      <c r="D36" s="1">
        <v>7</v>
      </c>
      <c r="E36" s="1">
        <v>5</v>
      </c>
      <c r="F36" s="1">
        <f t="shared" si="0"/>
        <v>4</v>
      </c>
      <c r="G36" s="2">
        <v>2</v>
      </c>
      <c r="H36" s="2">
        <v>0.83333333333333337</v>
      </c>
      <c r="I36" s="1">
        <v>857.84</v>
      </c>
      <c r="J36" s="1">
        <v>0</v>
      </c>
      <c r="K36" s="1">
        <v>3</v>
      </c>
      <c r="L36" s="1">
        <v>5</v>
      </c>
      <c r="M36" s="2">
        <f t="shared" si="8"/>
        <v>2.8333333333333335</v>
      </c>
      <c r="N36" s="1">
        <f t="shared" si="9"/>
        <v>12</v>
      </c>
      <c r="O36" s="1" t="str">
        <f t="shared" si="1"/>
        <v>Oui</v>
      </c>
      <c r="P36" s="1" t="s">
        <v>27</v>
      </c>
      <c r="Q36" s="1" t="s">
        <v>28</v>
      </c>
      <c r="R36" s="4">
        <v>45854</v>
      </c>
      <c r="S36" s="4">
        <v>45869</v>
      </c>
      <c r="T36" s="1">
        <f t="shared" si="6"/>
        <v>16</v>
      </c>
      <c r="U36" s="1" t="str">
        <f t="shared" si="7"/>
        <v>2025-07-Q2</v>
      </c>
      <c r="V36" s="5">
        <f t="shared" si="2"/>
        <v>12.615294117647059</v>
      </c>
      <c r="W36" s="5">
        <f t="shared" si="3"/>
        <v>71.486666666666665</v>
      </c>
      <c r="Y36" t="str">
        <f t="shared" si="4"/>
        <v>Vrai</v>
      </c>
      <c r="Z36" t="str">
        <f t="shared" si="5"/>
        <v>Vrai</v>
      </c>
    </row>
    <row r="37" spans="1:26" x14ac:dyDescent="0.2">
      <c r="A37" s="1">
        <v>19</v>
      </c>
      <c r="B37" s="1" t="s">
        <v>25</v>
      </c>
      <c r="C37" s="1" t="s">
        <v>30</v>
      </c>
      <c r="D37" s="1">
        <v>4</v>
      </c>
      <c r="E37" s="1">
        <v>5</v>
      </c>
      <c r="F37" s="1">
        <f t="shared" si="0"/>
        <v>7</v>
      </c>
      <c r="G37" s="2">
        <v>1.3333333333333333</v>
      </c>
      <c r="H37" s="2">
        <v>1.3263888888888888</v>
      </c>
      <c r="I37" s="1">
        <v>600</v>
      </c>
      <c r="J37" s="1">
        <v>0</v>
      </c>
      <c r="K37" s="1">
        <v>4</v>
      </c>
      <c r="L37" s="1">
        <v>1</v>
      </c>
      <c r="M37" s="2">
        <f t="shared" si="8"/>
        <v>2.6597222222222223</v>
      </c>
      <c r="N37" s="1">
        <f t="shared" si="9"/>
        <v>9</v>
      </c>
      <c r="O37" s="1" t="str">
        <f t="shared" si="1"/>
        <v>Oui</v>
      </c>
      <c r="P37" s="1" t="s">
        <v>27</v>
      </c>
      <c r="Q37" s="1" t="s">
        <v>28</v>
      </c>
      <c r="R37" s="4">
        <v>45854</v>
      </c>
      <c r="S37" s="4">
        <v>45869</v>
      </c>
      <c r="T37" s="1">
        <f t="shared" si="6"/>
        <v>16</v>
      </c>
      <c r="U37" s="1" t="str">
        <f t="shared" si="7"/>
        <v>2025-07-Q2</v>
      </c>
      <c r="V37" s="5">
        <f t="shared" si="2"/>
        <v>9.3994778067885107</v>
      </c>
      <c r="W37" s="5">
        <f t="shared" si="3"/>
        <v>66.666666666666671</v>
      </c>
      <c r="Y37" t="str">
        <f t="shared" si="4"/>
        <v>Vrai</v>
      </c>
      <c r="Z37" t="str">
        <f t="shared" si="5"/>
        <v>Vrai</v>
      </c>
    </row>
    <row r="38" spans="1:26" x14ac:dyDescent="0.2">
      <c r="A38" s="1">
        <v>9</v>
      </c>
      <c r="B38" s="1" t="s">
        <v>29</v>
      </c>
      <c r="C38" s="1" t="s">
        <v>31</v>
      </c>
      <c r="D38" s="1">
        <v>5</v>
      </c>
      <c r="E38" s="1">
        <v>6</v>
      </c>
      <c r="F38" s="1">
        <f t="shared" si="0"/>
        <v>5</v>
      </c>
      <c r="G38" s="2">
        <v>1.5763888888888888</v>
      </c>
      <c r="H38" s="2">
        <v>1.1527777777777777</v>
      </c>
      <c r="I38" s="1">
        <v>782.91</v>
      </c>
      <c r="J38" s="1">
        <v>0</v>
      </c>
      <c r="K38" s="1">
        <v>4</v>
      </c>
      <c r="L38" s="1">
        <v>5</v>
      </c>
      <c r="M38" s="2">
        <f t="shared" si="8"/>
        <v>2.7291666666666665</v>
      </c>
      <c r="N38" s="1">
        <f t="shared" si="9"/>
        <v>11</v>
      </c>
      <c r="O38" s="1" t="str">
        <f t="shared" si="1"/>
        <v>Oui</v>
      </c>
      <c r="P38" s="1" t="s">
        <v>27</v>
      </c>
      <c r="Q38" s="1" t="s">
        <v>28</v>
      </c>
      <c r="R38" s="4">
        <v>45854</v>
      </c>
      <c r="S38" s="4">
        <v>45869</v>
      </c>
      <c r="T38" s="1">
        <f t="shared" si="6"/>
        <v>16</v>
      </c>
      <c r="U38" s="1" t="str">
        <f t="shared" si="7"/>
        <v>2025-07-Q2</v>
      </c>
      <c r="V38" s="5">
        <f t="shared" si="2"/>
        <v>11.952824427480916</v>
      </c>
      <c r="W38" s="5">
        <f t="shared" si="3"/>
        <v>71.173636363636362</v>
      </c>
      <c r="Y38" t="str">
        <f t="shared" si="4"/>
        <v>Vrai</v>
      </c>
      <c r="Z38" t="str">
        <f t="shared" si="5"/>
        <v>Vrai</v>
      </c>
    </row>
    <row r="39" spans="1:26" x14ac:dyDescent="0.2">
      <c r="A39" s="1">
        <v>20</v>
      </c>
      <c r="B39" s="1" t="s">
        <v>29</v>
      </c>
      <c r="C39" s="1" t="s">
        <v>31</v>
      </c>
      <c r="D39" s="1">
        <v>2</v>
      </c>
      <c r="E39" s="1">
        <v>3</v>
      </c>
      <c r="F39" s="1">
        <f t="shared" si="0"/>
        <v>11</v>
      </c>
      <c r="G39" s="2">
        <v>0.63888888888888884</v>
      </c>
      <c r="H39" s="2">
        <v>0.75</v>
      </c>
      <c r="I39" s="1">
        <v>333.33</v>
      </c>
      <c r="J39" s="1">
        <v>0</v>
      </c>
      <c r="K39" s="1">
        <v>1</v>
      </c>
      <c r="L39" s="1">
        <v>0</v>
      </c>
      <c r="M39" s="2">
        <f t="shared" si="8"/>
        <v>1.3888888888888888</v>
      </c>
      <c r="N39" s="1">
        <f t="shared" si="9"/>
        <v>5</v>
      </c>
      <c r="O39" s="1" t="str">
        <f t="shared" si="1"/>
        <v>Non</v>
      </c>
      <c r="P39" s="1" t="s">
        <v>27</v>
      </c>
      <c r="Q39" s="1" t="s">
        <v>28</v>
      </c>
      <c r="R39" s="4">
        <v>45854</v>
      </c>
      <c r="S39" s="4">
        <v>45869</v>
      </c>
      <c r="T39" s="1">
        <f t="shared" si="6"/>
        <v>16</v>
      </c>
      <c r="U39" s="1" t="str">
        <f t="shared" si="7"/>
        <v>2025-07-Q2</v>
      </c>
      <c r="V39" s="5">
        <f t="shared" si="2"/>
        <v>9.9999000000000002</v>
      </c>
      <c r="W39" s="5">
        <f t="shared" si="3"/>
        <v>66.665999999999997</v>
      </c>
      <c r="Y39" t="str">
        <f t="shared" si="4"/>
        <v>Vrai</v>
      </c>
      <c r="Z39" t="str">
        <f t="shared" si="5"/>
        <v>Vrai</v>
      </c>
    </row>
    <row r="40" spans="1:26" x14ac:dyDescent="0.2">
      <c r="A40" s="1">
        <v>3</v>
      </c>
      <c r="B40" s="1" t="s">
        <v>29</v>
      </c>
      <c r="C40" s="1" t="s">
        <v>30</v>
      </c>
      <c r="D40" s="1">
        <v>7</v>
      </c>
      <c r="E40" s="1">
        <v>5</v>
      </c>
      <c r="F40" s="1">
        <f t="shared" si="0"/>
        <v>4</v>
      </c>
      <c r="G40" s="2">
        <v>2.4236111111111112</v>
      </c>
      <c r="H40" s="2">
        <v>1.3472222222222223</v>
      </c>
      <c r="I40" s="1">
        <v>813.96</v>
      </c>
      <c r="J40" s="1">
        <v>0</v>
      </c>
      <c r="K40" s="1">
        <v>5</v>
      </c>
      <c r="L40" s="1">
        <v>0</v>
      </c>
      <c r="M40" s="2">
        <f t="shared" si="8"/>
        <v>3.7708333333333335</v>
      </c>
      <c r="N40" s="1">
        <f t="shared" si="9"/>
        <v>12</v>
      </c>
      <c r="O40" s="1" t="str">
        <f t="shared" si="1"/>
        <v>Non</v>
      </c>
      <c r="P40" s="1" t="s">
        <v>27</v>
      </c>
      <c r="Q40" s="1" t="s">
        <v>28</v>
      </c>
      <c r="R40" s="4">
        <v>45854</v>
      </c>
      <c r="S40" s="4">
        <v>45869</v>
      </c>
      <c r="T40" s="1">
        <f t="shared" si="6"/>
        <v>16</v>
      </c>
      <c r="U40" s="1" t="str">
        <f t="shared" si="7"/>
        <v>2025-07-Q2</v>
      </c>
      <c r="V40" s="5">
        <f t="shared" si="2"/>
        <v>8.9940331491712708</v>
      </c>
      <c r="W40" s="5">
        <f t="shared" si="3"/>
        <v>67.83</v>
      </c>
      <c r="Y40" t="str">
        <f t="shared" si="4"/>
        <v>Vrai</v>
      </c>
      <c r="Z40" t="str">
        <f t="shared" si="5"/>
        <v>Vrai</v>
      </c>
    </row>
    <row r="41" spans="1:26" x14ac:dyDescent="0.2">
      <c r="A41" s="1">
        <v>5</v>
      </c>
      <c r="B41" s="1" t="s">
        <v>25</v>
      </c>
      <c r="C41" s="1" t="s">
        <v>31</v>
      </c>
      <c r="D41" s="1">
        <v>6</v>
      </c>
      <c r="E41" s="1">
        <v>5</v>
      </c>
      <c r="F41" s="1">
        <f t="shared" si="0"/>
        <v>5</v>
      </c>
      <c r="G41" s="2">
        <v>1.9583333333333333</v>
      </c>
      <c r="H41" s="2">
        <v>1.4305555555555556</v>
      </c>
      <c r="I41" s="1">
        <v>782.91</v>
      </c>
      <c r="J41" s="1">
        <v>0</v>
      </c>
      <c r="K41" s="1">
        <v>5</v>
      </c>
      <c r="L41" s="1">
        <v>0</v>
      </c>
      <c r="M41" s="2">
        <f t="shared" si="8"/>
        <v>3.3888888888888888</v>
      </c>
      <c r="N41" s="1">
        <f t="shared" si="9"/>
        <v>11</v>
      </c>
      <c r="O41" s="1" t="str">
        <f t="shared" si="1"/>
        <v>Non</v>
      </c>
      <c r="P41" s="1" t="s">
        <v>27</v>
      </c>
      <c r="Q41" s="1" t="s">
        <v>28</v>
      </c>
      <c r="R41" s="4">
        <v>45854</v>
      </c>
      <c r="S41" s="4">
        <v>45869</v>
      </c>
      <c r="T41" s="1">
        <f t="shared" si="6"/>
        <v>16</v>
      </c>
      <c r="U41" s="1" t="str">
        <f t="shared" si="7"/>
        <v>2025-07-Q2</v>
      </c>
      <c r="V41" s="5">
        <f t="shared" si="2"/>
        <v>9.62594262295082</v>
      </c>
      <c r="W41" s="5">
        <f t="shared" si="3"/>
        <v>71.173636363636362</v>
      </c>
      <c r="Y41" t="str">
        <f t="shared" si="4"/>
        <v>Vrai</v>
      </c>
      <c r="Z41" t="str">
        <f t="shared" si="5"/>
        <v>Vrai</v>
      </c>
    </row>
    <row r="42" spans="1:26" x14ac:dyDescent="0.2">
      <c r="A42" s="1">
        <v>7</v>
      </c>
      <c r="B42" s="1" t="s">
        <v>25</v>
      </c>
      <c r="C42" s="1" t="s">
        <v>31</v>
      </c>
      <c r="D42" s="1">
        <v>5</v>
      </c>
      <c r="E42" s="1">
        <v>6</v>
      </c>
      <c r="F42" s="1">
        <f t="shared" si="0"/>
        <v>5</v>
      </c>
      <c r="G42" s="2">
        <v>1.6597222222222223</v>
      </c>
      <c r="H42" s="2">
        <v>1.6458333333333333</v>
      </c>
      <c r="I42" s="1">
        <v>782.91</v>
      </c>
      <c r="J42" s="1">
        <v>0</v>
      </c>
      <c r="K42" s="1">
        <v>3</v>
      </c>
      <c r="L42" s="1">
        <v>0</v>
      </c>
      <c r="M42" s="2">
        <f t="shared" si="8"/>
        <v>3.3055555555555554</v>
      </c>
      <c r="N42" s="1">
        <f t="shared" si="9"/>
        <v>11</v>
      </c>
      <c r="O42" s="1" t="str">
        <f t="shared" si="1"/>
        <v>Non</v>
      </c>
      <c r="P42" s="1" t="s">
        <v>27</v>
      </c>
      <c r="Q42" s="1" t="s">
        <v>28</v>
      </c>
      <c r="R42" s="4">
        <v>45854</v>
      </c>
      <c r="S42" s="4">
        <v>45869</v>
      </c>
      <c r="T42" s="1">
        <f t="shared" si="6"/>
        <v>16</v>
      </c>
      <c r="U42" s="1" t="str">
        <f t="shared" si="7"/>
        <v>2025-07-Q2</v>
      </c>
      <c r="V42" s="5">
        <f t="shared" si="2"/>
        <v>9.868613445378152</v>
      </c>
      <c r="W42" s="5">
        <f t="shared" si="3"/>
        <v>71.173636363636362</v>
      </c>
      <c r="Y42" t="str">
        <f t="shared" si="4"/>
        <v>Vrai</v>
      </c>
      <c r="Z42" t="str">
        <f t="shared" si="5"/>
        <v>Vrai</v>
      </c>
    </row>
    <row r="43" spans="1:26" x14ac:dyDescent="0.2">
      <c r="A43" s="1">
        <v>21</v>
      </c>
      <c r="B43" s="1" t="s">
        <v>29</v>
      </c>
      <c r="C43" s="1" t="s">
        <v>30</v>
      </c>
      <c r="D43" s="1">
        <v>5</v>
      </c>
      <c r="E43" s="1">
        <v>5</v>
      </c>
      <c r="F43" s="1">
        <f t="shared" si="0"/>
        <v>6</v>
      </c>
      <c r="G43" s="2">
        <v>1.7430555555555556</v>
      </c>
      <c r="H43" s="2">
        <v>1.2847222222222223</v>
      </c>
      <c r="I43" s="1">
        <v>671.47</v>
      </c>
      <c r="J43" s="1">
        <v>0</v>
      </c>
      <c r="K43" s="1">
        <v>5</v>
      </c>
      <c r="L43" s="1">
        <v>3</v>
      </c>
      <c r="M43" s="2">
        <f t="shared" si="8"/>
        <v>3.0277777777777777</v>
      </c>
      <c r="N43" s="1">
        <f t="shared" si="9"/>
        <v>10</v>
      </c>
      <c r="O43" s="1" t="str">
        <f t="shared" si="1"/>
        <v>Oui</v>
      </c>
      <c r="P43" s="1" t="s">
        <v>27</v>
      </c>
      <c r="Q43" s="1" t="s">
        <v>28</v>
      </c>
      <c r="R43" s="4">
        <v>45854</v>
      </c>
      <c r="S43" s="4">
        <v>45869</v>
      </c>
      <c r="T43" s="1">
        <f t="shared" si="6"/>
        <v>16</v>
      </c>
      <c r="U43" s="1" t="str">
        <f t="shared" si="7"/>
        <v>2025-07-Q2</v>
      </c>
      <c r="V43" s="5">
        <f t="shared" si="2"/>
        <v>9.2404128440366993</v>
      </c>
      <c r="W43" s="5">
        <f t="shared" si="3"/>
        <v>67.147000000000006</v>
      </c>
      <c r="Y43" t="str">
        <f t="shared" si="4"/>
        <v>Vrai</v>
      </c>
      <c r="Z43" t="str">
        <f t="shared" si="5"/>
        <v>Vrai</v>
      </c>
    </row>
    <row r="44" spans="1:26" x14ac:dyDescent="0.2">
      <c r="A44" s="1">
        <v>22</v>
      </c>
      <c r="B44" s="1" t="s">
        <v>25</v>
      </c>
      <c r="C44" s="1" t="s">
        <v>31</v>
      </c>
      <c r="D44" s="1">
        <v>7</v>
      </c>
      <c r="E44" s="1">
        <v>5</v>
      </c>
      <c r="F44" s="1">
        <f t="shared" si="0"/>
        <v>4</v>
      </c>
      <c r="G44" s="2">
        <v>1.8611111111111112</v>
      </c>
      <c r="H44" s="2">
        <v>1.4166666666666667</v>
      </c>
      <c r="I44" s="1">
        <v>857</v>
      </c>
      <c r="J44" s="1">
        <v>0</v>
      </c>
      <c r="K44" s="1">
        <v>4</v>
      </c>
      <c r="L44" s="1">
        <v>5</v>
      </c>
      <c r="M44" s="2">
        <f t="shared" si="8"/>
        <v>3.2777777777777777</v>
      </c>
      <c r="N44" s="1">
        <f t="shared" si="9"/>
        <v>12</v>
      </c>
      <c r="O44" s="1" t="str">
        <f t="shared" si="1"/>
        <v>Oui</v>
      </c>
      <c r="P44" s="1" t="s">
        <v>27</v>
      </c>
      <c r="Q44" s="1" t="s">
        <v>28</v>
      </c>
      <c r="R44" s="4">
        <v>45854</v>
      </c>
      <c r="S44" s="4">
        <v>45869</v>
      </c>
      <c r="T44" s="1">
        <f t="shared" si="6"/>
        <v>16</v>
      </c>
      <c r="U44" s="1" t="str">
        <f t="shared" si="7"/>
        <v>2025-07-Q2</v>
      </c>
      <c r="V44" s="5">
        <f t="shared" si="2"/>
        <v>10.894067796610171</v>
      </c>
      <c r="W44" s="5">
        <f t="shared" si="3"/>
        <v>71.416666666666671</v>
      </c>
      <c r="Y44" t="str">
        <f t="shared" si="4"/>
        <v>Vrai</v>
      </c>
      <c r="Z44" t="str">
        <f t="shared" si="5"/>
        <v>Vrai</v>
      </c>
    </row>
    <row r="45" spans="1:26" x14ac:dyDescent="0.2">
      <c r="A45" s="1">
        <v>15</v>
      </c>
      <c r="B45" s="1" t="s">
        <v>25</v>
      </c>
      <c r="C45" s="1" t="s">
        <v>30</v>
      </c>
      <c r="D45" s="6">
        <v>6</v>
      </c>
      <c r="E45" s="6">
        <v>5</v>
      </c>
      <c r="F45" s="6">
        <f t="shared" si="0"/>
        <v>5</v>
      </c>
      <c r="G45" s="7">
        <v>1.8333333333333333</v>
      </c>
      <c r="H45" s="7">
        <v>1.3055555555555556</v>
      </c>
      <c r="I45" s="6">
        <v>762.28</v>
      </c>
      <c r="J45" s="6">
        <v>0</v>
      </c>
      <c r="K45" s="6">
        <v>5</v>
      </c>
      <c r="L45" s="6">
        <v>3</v>
      </c>
      <c r="M45" s="7">
        <f t="shared" si="8"/>
        <v>3.1388888888888888</v>
      </c>
      <c r="N45" s="6">
        <f t="shared" si="9"/>
        <v>11</v>
      </c>
      <c r="O45" s="6" t="str">
        <f t="shared" si="1"/>
        <v>Oui</v>
      </c>
      <c r="P45" s="1" t="s">
        <v>27</v>
      </c>
      <c r="Q45" s="1" t="s">
        <v>28</v>
      </c>
      <c r="R45" s="8">
        <v>45854</v>
      </c>
      <c r="S45" s="8">
        <v>45869</v>
      </c>
      <c r="T45" s="6">
        <f t="shared" si="6"/>
        <v>16</v>
      </c>
      <c r="U45" s="6" t="str">
        <f t="shared" si="7"/>
        <v>2025-07-Q2</v>
      </c>
      <c r="V45" s="5">
        <f t="shared" si="2"/>
        <v>10.118761061946904</v>
      </c>
      <c r="W45" s="5">
        <f t="shared" si="3"/>
        <v>69.298181818181817</v>
      </c>
      <c r="Y45" t="str">
        <f t="shared" si="4"/>
        <v>Vrai</v>
      </c>
      <c r="Z45" t="str">
        <f t="shared" si="5"/>
        <v>Vrai</v>
      </c>
    </row>
  </sheetData>
  <conditionalFormatting sqref="V2:V45">
    <cfRule type="cellIs" dxfId="0" priority="1" operator="lessThan">
      <formula>9.4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PIGASSOU</dc:creator>
  <cp:lastModifiedBy>Mathis PIGASSOU</cp:lastModifiedBy>
  <dcterms:created xsi:type="dcterms:W3CDTF">2025-09-15T07:57:23Z</dcterms:created>
  <dcterms:modified xsi:type="dcterms:W3CDTF">2025-09-15T07:59:52Z</dcterms:modified>
</cp:coreProperties>
</file>